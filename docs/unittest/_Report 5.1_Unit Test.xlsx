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" sheetId="1" r:id="rId4"/>
    <sheet state="visible" name="Cover" sheetId="2" r:id="rId5"/>
    <sheet state="visible" name="MethodList" sheetId="3" r:id="rId6"/>
    <sheet state="visible" name="Statistics" sheetId="4" r:id="rId7"/>
    <sheet state="visible" name="Example" sheetId="5" r:id="rId8"/>
    <sheet state="visible" name="Sheet6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*A: Add
  M: Modify
  D: Delete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Not mandatory
</t>
      </text>
    </comment>
    <comment authorId="0" ref="C8">
      <text>
        <t xml:space="preserve">
Not mandatory</t>
      </text>
    </comment>
  </commentList>
</comments>
</file>

<file path=xl/sharedStrings.xml><?xml version="1.0" encoding="utf-8"?>
<sst xmlns="http://schemas.openxmlformats.org/spreadsheetml/2006/main" count="315" uniqueCount="178">
  <si>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</si>
  <si>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</si>
  <si>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</si>
  <si>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r>
      <rPr>
        <rFont val="Tahoma"/>
        <color theme="1"/>
      </rPr>
      <t xml:space="preserve"> - </t>
    </r>
    <r>
      <rPr>
        <rFont val="Tahoma"/>
        <b/>
        <color theme="1"/>
        <sz val="10.0"/>
      </rPr>
      <t>Cover</t>
    </r>
    <r>
      <rPr>
        <rFont val="Tahoma"/>
        <color theme="1"/>
        <sz val="10.0"/>
      </rPr>
      <t>: General information of the project and Unit Test cases</t>
    </r>
  </si>
  <si>
    <r>
      <rPr>
        <rFont val="Tahoma"/>
        <color theme="1"/>
      </rPr>
      <t xml:space="preserve"> - </t>
    </r>
    <r>
      <rPr>
        <rFont val="Tahoma"/>
        <b/>
        <color theme="1"/>
        <sz val="10.0"/>
      </rPr>
      <t>FunctionList</t>
    </r>
    <r>
      <rPr>
        <rFont val="Tahoma"/>
        <color theme="1"/>
        <sz val="10.0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</si>
  <si>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rPr>
        <rFont val="Tahoma"/>
        <color theme="1"/>
      </rPr>
      <t xml:space="preserve">     + Click on Function link to open the related Test cases of the function.  
     </t>
    </r>
    <r>
      <rPr>
        <rFont val="Tahoma"/>
        <i/>
        <color theme="1"/>
        <sz val="10.0"/>
      </rPr>
      <t>Note:</t>
    </r>
    <r>
      <rPr>
        <rFont val="Tahoma"/>
        <color theme="1"/>
        <sz val="10.0"/>
      </rPr>
      <t xml:space="preserve"> You should create new Function sheet before creating the link</t>
    </r>
  </si>
  <si>
    <r>
      <rPr>
        <rFont val="Tahoma"/>
        <color theme="1"/>
      </rPr>
      <t xml:space="preserve"> - </t>
    </r>
    <r>
      <rPr>
        <rFont val="Tahoma"/>
        <b/>
        <color theme="1"/>
        <sz val="10.0"/>
      </rPr>
      <t>Test Report</t>
    </r>
    <r>
      <rPr>
        <rFont val="Tahoma"/>
        <color theme="1"/>
        <sz val="10.0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</si>
  <si>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</si>
  <si>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</si>
  <si>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</si>
  <si>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</si>
  <si>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</si>
  <si>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</si>
  <si>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</si>
  <si>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</si>
  <si>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</si>
  <si>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</si>
  <si>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</si>
  <si>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</si>
  <si>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</si>
  <si>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</si>
  <si>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</si>
  <si>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</si>
  <si>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</si>
  <si>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</si>
  <si>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</si>
  <si>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</si>
  <si>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</si>
  <si>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</si>
  <si>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</si>
  <si>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</si>
  <si>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</si>
  <si>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</si>
  <si>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</si>
  <si>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</si>
  <si>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</si>
  <si>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rPr>
        <rFont val="Tahoma"/>
        <color theme="1"/>
      </rPr>
      <t xml:space="preserve">        - Test case result: the actual output results comparing with the Confirmation.
                 </t>
    </r>
    <r>
      <rPr>
        <rFont val="Tahoma"/>
        <b/>
        <color theme="1"/>
        <sz val="10.0"/>
      </rPr>
      <t>P</t>
    </r>
    <r>
      <rPr>
        <rFont val="Tahoma"/>
        <color theme="1"/>
        <sz val="10.0"/>
      </rPr>
      <t xml:space="preserve"> for Passed and </t>
    </r>
    <r>
      <rPr>
        <rFont val="Tahoma"/>
        <b/>
        <color theme="1"/>
        <sz val="10.0"/>
      </rPr>
      <t>F</t>
    </r>
    <r>
      <rPr>
        <rFont val="Tahoma"/>
        <color theme="1"/>
        <sz val="10.0"/>
      </rPr>
      <t xml:space="preserve"> for Failed cases.
          It can 'OK' or 'NG' (it depends on habit of the teams or customers)</t>
    </r>
  </si>
  <si>
    <t xml:space="preserve"> 2.3. Other items:</t>
  </si>
  <si>
    <t xml:space="preserve"> - Code Module: name of the code module and updated automatically according to FunctionList sheet.</t>
  </si>
  <si>
    <t xml:space="preserve"> - Method: it is name  of the code method/component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</si>
  <si>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</si>
  <si>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</si>
  <si>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Test requirement: Brief description about requirements which are tested in this function, it is not mandatory.</t>
  </si>
  <si>
    <t xml:space="preserve">         </t>
  </si>
  <si>
    <t>UNIT TEST DOCUMENT</t>
  </si>
  <si>
    <t>Project Name</t>
  </si>
  <si>
    <t>&lt;Project Name&gt;</t>
  </si>
  <si>
    <t>Creator</t>
  </si>
  <si>
    <t>Project Code</t>
  </si>
  <si>
    <t>&lt;Project Code&gt;</t>
  </si>
  <si>
    <t>Issue Date</t>
  </si>
  <si>
    <t>&lt;Date when this test report is created&gt;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</si>
  <si>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</si>
  <si>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</si>
  <si>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</si>
  <si>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</si>
  <si>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</si>
  <si>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</si>
  <si>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</si>
  <si>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</si>
  <si>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</si>
  <si>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</si>
  <si>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Method List</t>
  </si>
  <si>
    <t>Test Environment Setup Description</t>
  </si>
  <si>
    <t>&lt;List enviroment requires in this system
1. Server
2. Database
3. Web Browser
...
&gt;</t>
  </si>
  <si>
    <t>No</t>
  </si>
  <si>
    <t>Module Name</t>
  </si>
  <si>
    <t>Method Name</t>
  </si>
  <si>
    <t>Sheet Name</t>
  </si>
  <si>
    <t>Description</t>
  </si>
  <si>
    <t>Pre-Condition</t>
  </si>
  <si>
    <t>ModuleName1</t>
  </si>
  <si>
    <t>View Homepage and System Dashboard Overview(user)</t>
  </si>
  <si>
    <t>ModuleName2</t>
  </si>
  <si>
    <t>Enable / Disable Notifications(user)</t>
  </si>
  <si>
    <t>Attendance</t>
  </si>
  <si>
    <t>Device</t>
  </si>
  <si>
    <t>Configuration</t>
  </si>
  <si>
    <t>Report</t>
  </si>
  <si>
    <t>Notification</t>
  </si>
  <si>
    <t>UNIT TEST REPORT</t>
  </si>
  <si>
    <t>Reviewer/Approver</t>
  </si>
  <si>
    <t>&lt;Project Code&gt;_Test Report_vx.x</t>
  </si>
  <si>
    <t>Notes</t>
  </si>
  <si>
    <t>&lt;List modules included in this release&gt; ex: Release 1 includes 2 modules: Module1 and Module2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</si>
  <si>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</si>
  <si>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</si>
  <si>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</si>
  <si>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</si>
  <si>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</si>
  <si>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</si>
  <si>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</si>
  <si>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</si>
  <si>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r>
      <rPr>
        <rFont val="&quot;ＭＳ Ｐゴシック&quot;, monospace"/>
        <color rgb="FF1155CC"/>
        <sz val="11.0"/>
        <u/>
      </rPr>
      <t>methodName1</t>
    </r>
  </si>
  <si>
    <r>
      <rPr>
        <rFont val="&quot;ＭＳ Ｐゴシック&quot;, monospace"/>
        <color rgb="FF1155CC"/>
        <sz val="11.0"/>
        <u/>
      </rPr>
      <t>methodName2</t>
    </r>
  </si>
  <si>
    <t>Sub total</t>
  </si>
  <si>
    <t>Test coverage</t>
  </si>
  <si>
    <t>96,67</t>
  </si>
  <si>
    <t>%</t>
  </si>
  <si>
    <t>Test successful coverage</t>
  </si>
  <si>
    <t>80,00</t>
  </si>
  <si>
    <t>Normal case</t>
  </si>
  <si>
    <t>76,67</t>
  </si>
  <si>
    <t>Abnormal case</t>
  </si>
  <si>
    <t>16,67</t>
  </si>
  <si>
    <t>Boundary case</t>
  </si>
  <si>
    <t>6,67</t>
  </si>
  <si>
    <t>Code Module</t>
  </si>
  <si>
    <t>ModuleName</t>
  </si>
  <si>
    <t>Method</t>
  </si>
  <si>
    <t>methodName</t>
  </si>
  <si>
    <t>Created By</t>
  </si>
  <si>
    <t>&lt;Developer Name&gt;</t>
  </si>
  <si>
    <t>Executed By</t>
  </si>
  <si>
    <t>Test requirement</t>
  </si>
  <si>
    <t>&lt;Brief description about requirements which are tested in this function&gt;</t>
  </si>
  <si>
    <t>N/A/B</t>
  </si>
  <si>
    <t>UTCID01</t>
  </si>
  <si>
    <t>UTCID02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</si>
  <si>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</si>
  <si>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</si>
  <si>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</si>
  <si>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</si>
  <si>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</si>
  <si>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</si>
  <si>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</si>
  <si>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</si>
  <si>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</si>
  <si>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Condition</t>
  </si>
  <si>
    <t xml:space="preserve">Precondition </t>
  </si>
  <si>
    <t>a</t>
  </si>
  <si>
    <t>O</t>
  </si>
  <si>
    <t>b</t>
  </si>
  <si>
    <t>c</t>
  </si>
  <si>
    <t>Confirm</t>
  </si>
  <si>
    <t>Return</t>
  </si>
  <si>
    <t xml:space="preserve">list </t>
  </si>
  <si>
    <t>null</t>
  </si>
  <si>
    <t>size = 0</t>
  </si>
  <si>
    <t>{-1/2}</t>
  </si>
  <si>
    <t>{1,1}</t>
  </si>
  <si>
    <t>{1,-3}</t>
  </si>
  <si>
    <t>Exception</t>
  </si>
  <si>
    <t>Log message</t>
  </si>
  <si>
    <t>"please input a&gt;= -1"</t>
  </si>
  <si>
    <t>Result</t>
  </si>
  <si>
    <t>Type(N : Normal, A : Abnormal, B : Boundary)</t>
  </si>
  <si>
    <t>Passed/Failed</t>
  </si>
  <si>
    <t>Executed Date</t>
  </si>
  <si>
    <t>Defect ID</t>
  </si>
  <si>
    <t>methodName1</t>
  </si>
  <si>
    <t>UTCID03</t>
  </si>
  <si>
    <t>UTCID04</t>
  </si>
  <si>
    <t>UTCID05</t>
  </si>
  <si>
    <t>UTCID06</t>
  </si>
  <si>
    <t>Precondition</t>
  </si>
  <si>
    <t>Can connect with server</t>
  </si>
  <si>
    <t>Date</t>
  </si>
  <si>
    <t>Month</t>
  </si>
  <si>
    <t>Year</t>
  </si>
  <si>
    <t>T</t>
  </si>
  <si>
    <t>F</t>
  </si>
  <si>
    <t>"success"</t>
  </si>
  <si>
    <t>"input1 is null"</t>
  </si>
  <si>
    <t>P</t>
  </si>
  <si>
    <t>02/26</t>
  </si>
  <si>
    <t>02/27</t>
  </si>
  <si>
    <t>02/28</t>
  </si>
  <si>
    <t>DFID002</t>
  </si>
  <si>
    <t>DFID004</t>
  </si>
  <si>
    <t>DFID005</t>
  </si>
  <si>
    <t>DFID006</t>
  </si>
  <si>
    <t>DFID007</t>
  </si>
  <si>
    <t>DFID008</t>
  </si>
  <si>
    <t>DFID009</t>
  </si>
  <si>
    <t>DFID010</t>
  </si>
  <si>
    <t>DFID011</t>
  </si>
  <si>
    <t>DFID012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</si>
</sst>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\-mmm\-yy"/>
    <numFmt numFmtId="165" formatCode="mm/dd"/>
    <numFmt numFmtId="166" formatCode="dd/mm"/>
  </numFmts>
  <fonts count="29">
    <font>
      <sz val="10.0"/>
      <color rgb="FF000000"/>
      <name val="Arial"/>
      <scheme val="minor"/>
    </font>
    <font>
      <b/>
      <sz val="18.0"/>
      <color theme="1"/>
      <name val="Tahoma"/>
    </font>
    <font>
      <sz val="11.0"/>
      <color theme="1"/>
      <name val="MS PGothic"/>
    </font>
    <font>
      <b/>
      <sz val="12.0"/>
      <color theme="1"/>
      <name val="Tahoma"/>
    </font>
    <font>
      <color theme="1"/>
      <name val="Tahoma"/>
    </font>
    <font>
      <i/>
      <color theme="1"/>
      <name val="Tahoma"/>
    </font>
    <font>
      <b/>
      <color theme="1"/>
      <name val="Tahoma"/>
    </font>
    <font>
      <b/>
      <sz val="20.0"/>
      <color theme="1"/>
      <name val="Tahoma"/>
    </font>
    <font/>
    <font>
      <b/>
      <color rgb="FFFFFFFF"/>
      <name val="Tahoma"/>
    </font>
    <font>
      <u/>
      <sz val="11.0"/>
      <color rgb="FF0000FF"/>
      <name val="MS PGothic"/>
    </font>
    <font>
      <b/>
      <sz val="20.0"/>
      <color rgb="FF000000"/>
      <name val="Tahoma"/>
    </font>
    <font>
      <b/>
      <color rgb="FF993300"/>
      <name val="Tahoma"/>
    </font>
    <font>
      <i/>
      <color rgb="FF008000"/>
      <name val="Tahoma"/>
    </font>
    <font>
      <u/>
      <sz val="11.0"/>
      <color rgb="FF0000FF"/>
      <name val="&quot;ＭＳ Ｐゴシック&quot;"/>
    </font>
    <font>
      <u/>
      <sz val="11.0"/>
      <color rgb="FF0000FF"/>
      <name val="Tahoma"/>
    </font>
    <font>
      <color rgb="FFFFFFFF"/>
      <name val="Tahoma"/>
    </font>
    <font>
      <b/>
      <sz val="11.0"/>
      <color rgb="FFFFFFFF"/>
      <name val="Tahoma"/>
    </font>
    <font>
      <color rgb="FF000000"/>
      <name val="Tahoma"/>
    </font>
    <font>
      <sz val="11.0"/>
      <color theme="1"/>
      <name val="&quot;ＭＳ Ｐゴシック&quot;"/>
    </font>
    <font>
      <b/>
      <sz val="8.0"/>
      <color theme="1"/>
      <name val="Tahoma"/>
    </font>
    <font>
      <i/>
      <sz val="8.0"/>
      <color theme="1"/>
      <name val="Tahoma"/>
    </font>
    <font>
      <sz val="8.0"/>
      <color theme="1"/>
      <name val="Tahoma"/>
    </font>
    <font>
      <b/>
      <sz val="8.0"/>
      <color rgb="FFFFFFFF"/>
      <name val="Tahoma"/>
    </font>
    <font>
      <b/>
      <sz val="12.0"/>
      <color theme="1"/>
      <name val="Courier New"/>
    </font>
    <font>
      <sz val="8.0"/>
      <color theme="1"/>
      <name val="Courier New"/>
    </font>
    <font>
      <sz val="8.0"/>
      <color rgb="FFFFFFFF"/>
      <name val="Tahoma"/>
    </font>
    <font>
      <color theme="1"/>
      <name val="Arial"/>
      <scheme val="minor"/>
    </font>
    <font>
      <sz val="11.0"/>
      <color theme="1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</fills>
  <borders count="100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double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/>
    </border>
    <border>
      <left/>
      <right style="double">
        <color rgb="FF000000"/>
      </right>
      <top style="double">
        <color rgb="FF000000"/>
      </top>
      <bottom/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/>
      <top/>
      <bottom/>
    </border>
    <border>
      <left style="double">
        <color rgb="FF000000"/>
      </left>
      <right/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top style="double">
        <color rgb="FF000000"/>
      </top>
      <bottom style="thin">
        <color rgb="FFFFFFFF"/>
      </bottom>
    </border>
    <border>
      <top style="double">
        <color rgb="FF000000"/>
      </top>
      <bottom style="thin">
        <color rgb="FFFFFFFF"/>
      </bottom>
    </border>
    <border>
      <right style="double">
        <color rgb="FF000000"/>
      </right>
      <top style="double">
        <color rgb="FF000000"/>
      </top>
      <bottom style="thin">
        <color rgb="FFFFFFFF"/>
      </bottom>
    </border>
    <border>
      <left style="double">
        <color rgb="FF000000"/>
      </left>
      <right style="thin">
        <color rgb="FF000000"/>
      </right>
    </border>
    <border>
      <right style="double">
        <color rgb="FF000000"/>
      </right>
      <bottom style="thin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FFFFFF"/>
      </top>
    </border>
    <border>
      <right style="thin">
        <color rgb="FF000000"/>
      </right>
    </border>
    <border>
      <right style="double">
        <color rgb="FF000000"/>
      </right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2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Border="1" applyFont="1"/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1" fillId="2" fontId="4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shrinkToFit="0" vertical="bottom" wrapText="1"/>
    </xf>
    <xf borderId="1" fillId="2" fontId="5" numFmtId="0" xfId="0" applyAlignment="1" applyBorder="1" applyFont="1">
      <alignment vertical="bottom"/>
    </xf>
    <xf borderId="1" fillId="2" fontId="6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0" fontId="2" numFmtId="0" xfId="0" applyBorder="1" applyFont="1"/>
    <xf borderId="2" fillId="0" fontId="7" numFmtId="0" xfId="0" applyAlignment="1" applyBorder="1" applyFont="1">
      <alignment horizontal="center"/>
    </xf>
    <xf borderId="3" fillId="0" fontId="8" numFmtId="0" xfId="0" applyBorder="1" applyFont="1"/>
    <xf borderId="4" fillId="0" fontId="8" numFmtId="0" xfId="0" applyBorder="1" applyFont="1"/>
    <xf borderId="0" fillId="0" fontId="2" numFmtId="0" xfId="0" applyFont="1"/>
    <xf borderId="1" fillId="3" fontId="2" numFmtId="0" xfId="0" applyAlignment="1" applyBorder="1" applyFill="1" applyFont="1">
      <alignment vertical="bottom"/>
    </xf>
    <xf borderId="5" fillId="3" fontId="6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5" fillId="3" fontId="6" numFmtId="0" xfId="0" applyBorder="1" applyFont="1"/>
    <xf borderId="2" fillId="0" fontId="5" numFmtId="0" xfId="0" applyBorder="1" applyFont="1"/>
    <xf borderId="0" fillId="0" fontId="6" numFmtId="0" xfId="0" applyAlignment="1" applyFont="1">
      <alignment vertical="bottom"/>
    </xf>
    <xf borderId="6" fillId="4" fontId="9" numFmtId="164" xfId="0" applyAlignment="1" applyBorder="1" applyFill="1" applyFont="1" applyNumberFormat="1">
      <alignment horizontal="center"/>
    </xf>
    <xf borderId="7" fillId="4" fontId="9" numFmtId="0" xfId="0" applyAlignment="1" applyBorder="1" applyFont="1">
      <alignment horizontal="center"/>
    </xf>
    <xf borderId="8" fillId="4" fontId="9" numFmtId="0" xfId="0" applyAlignment="1" applyBorder="1" applyFont="1">
      <alignment horizontal="center"/>
    </xf>
    <xf borderId="9" fillId="0" fontId="5" numFmtId="0" xfId="0" applyAlignment="1" applyBorder="1" applyFont="1">
      <alignment shrinkToFit="0" vertical="top" wrapText="1"/>
    </xf>
    <xf borderId="10" fillId="0" fontId="2" numFmtId="49" xfId="0" applyAlignment="1" applyBorder="1" applyFont="1" applyNumberFormat="1">
      <alignment vertical="top"/>
    </xf>
    <xf borderId="10" fillId="0" fontId="2" numFmtId="0" xfId="0" applyAlignment="1" applyBorder="1" applyFont="1">
      <alignment vertical="top"/>
    </xf>
    <xf borderId="10" fillId="0" fontId="2" numFmtId="15" xfId="0" applyAlignment="1" applyBorder="1" applyFont="1" applyNumberFormat="1">
      <alignment vertical="top"/>
    </xf>
    <xf borderId="11" fillId="0" fontId="5" numFmtId="0" xfId="0" applyAlignment="1" applyBorder="1" applyFont="1">
      <alignment shrinkToFit="0" vertical="top" wrapText="1"/>
    </xf>
    <xf borderId="0" fillId="0" fontId="2" numFmtId="0" xfId="0" applyAlignment="1" applyFont="1">
      <alignment vertical="top"/>
    </xf>
    <xf borderId="9" fillId="0" fontId="2" numFmtId="164" xfId="0" applyAlignment="1" applyBorder="1" applyFont="1" applyNumberFormat="1">
      <alignment vertical="top"/>
    </xf>
    <xf borderId="11" fillId="0" fontId="2" numFmtId="0" xfId="0" applyAlignment="1" applyBorder="1" applyFont="1">
      <alignment vertical="top"/>
    </xf>
    <xf borderId="12" fillId="0" fontId="2" numFmtId="164" xfId="0" applyAlignment="1" applyBorder="1" applyFont="1" applyNumberFormat="1">
      <alignment vertical="top"/>
    </xf>
    <xf borderId="13" fillId="0" fontId="2" numFmtId="49" xfId="0" applyAlignment="1" applyBorder="1" applyFont="1" applyNumberFormat="1">
      <alignment vertical="top"/>
    </xf>
    <xf borderId="13" fillId="0" fontId="2" numFmtId="0" xfId="0" applyAlignment="1" applyBorder="1" applyFont="1">
      <alignment vertical="top"/>
    </xf>
    <xf borderId="14" fillId="0" fontId="2" numFmtId="0" xfId="0" applyAlignment="1" applyBorder="1" applyFont="1">
      <alignment vertical="top"/>
    </xf>
    <xf borderId="1" fillId="3" fontId="2" numFmtId="1" xfId="0" applyAlignment="1" applyBorder="1" applyFont="1" applyNumberFormat="1">
      <alignment vertical="bottom"/>
    </xf>
    <xf borderId="1" fillId="3" fontId="7" numFmtId="0" xfId="0" applyAlignment="1" applyBorder="1" applyFont="1">
      <alignment vertical="bottom"/>
    </xf>
    <xf borderId="2" fillId="3" fontId="6" numFmtId="1" xfId="0" applyAlignment="1" applyBorder="1" applyFont="1" applyNumberFormat="1">
      <alignment vertical="bottom"/>
    </xf>
    <xf borderId="15" fillId="0" fontId="8" numFmtId="0" xfId="0" applyBorder="1" applyFont="1"/>
    <xf borderId="2" fillId="3" fontId="5" numFmtId="0" xfId="0" applyAlignment="1" applyBorder="1" applyFont="1">
      <alignment vertical="bottom"/>
    </xf>
    <xf borderId="2" fillId="3" fontId="6" numFmtId="1" xfId="0" applyAlignment="1" applyBorder="1" applyFont="1" applyNumberFormat="1">
      <alignment shrinkToFit="0" wrapText="1"/>
    </xf>
    <xf borderId="2" fillId="3" fontId="5" numFmtId="0" xfId="0" applyAlignment="1" applyBorder="1" applyFont="1">
      <alignment shrinkToFit="0" vertical="top" wrapText="1"/>
    </xf>
    <xf borderId="6" fillId="5" fontId="9" numFmtId="1" xfId="0" applyAlignment="1" applyBorder="1" applyFill="1" applyFont="1" applyNumberFormat="1">
      <alignment horizontal="center"/>
    </xf>
    <xf borderId="16" fillId="5" fontId="9" numFmtId="1" xfId="0" applyAlignment="1" applyBorder="1" applyFont="1" applyNumberFormat="1">
      <alignment horizontal="center"/>
    </xf>
    <xf borderId="7" fillId="5" fontId="9" numFmtId="0" xfId="0" applyAlignment="1" applyBorder="1" applyFont="1">
      <alignment horizontal="center" shrinkToFit="0" wrapText="1"/>
    </xf>
    <xf borderId="7" fillId="5" fontId="9" numFmtId="0" xfId="0" applyAlignment="1" applyBorder="1" applyFont="1">
      <alignment horizontal="center"/>
    </xf>
    <xf borderId="17" fillId="5" fontId="9" numFmtId="0" xfId="0" applyAlignment="1" applyBorder="1" applyFont="1">
      <alignment horizontal="center"/>
    </xf>
    <xf borderId="8" fillId="5" fontId="9" numFmtId="0" xfId="0" applyAlignment="1" applyBorder="1" applyFont="1">
      <alignment horizontal="center"/>
    </xf>
    <xf borderId="9" fillId="3" fontId="4" numFmtId="1" xfId="0" applyAlignment="1" applyBorder="1" applyFont="1" applyNumberFormat="1">
      <alignment horizontal="center"/>
    </xf>
    <xf borderId="18" fillId="3" fontId="4" numFmtId="1" xfId="0" applyBorder="1" applyFont="1" applyNumberFormat="1"/>
    <xf borderId="10" fillId="3" fontId="4" numFmtId="49" xfId="0" applyAlignment="1" applyBorder="1" applyFont="1" applyNumberFormat="1">
      <alignment shrinkToFit="0" wrapText="1"/>
    </xf>
    <xf borderId="10" fillId="3" fontId="10" numFmtId="0" xfId="0" applyBorder="1" applyFont="1"/>
    <xf borderId="10" fillId="3" fontId="2" numFmtId="0" xfId="0" applyBorder="1" applyFont="1"/>
    <xf borderId="11" fillId="3" fontId="2" numFmtId="0" xfId="0" applyBorder="1" applyFont="1"/>
    <xf borderId="9" fillId="3" fontId="2" numFmtId="1" xfId="0" applyBorder="1" applyFont="1" applyNumberFormat="1"/>
    <xf borderId="18" fillId="3" fontId="2" numFmtId="1" xfId="0" applyBorder="1" applyFont="1" applyNumberFormat="1"/>
    <xf borderId="10" fillId="3" fontId="2" numFmtId="49" xfId="0" applyBorder="1" applyFont="1" applyNumberFormat="1"/>
    <xf borderId="12" fillId="3" fontId="2" numFmtId="1" xfId="0" applyBorder="1" applyFont="1" applyNumberFormat="1"/>
    <xf borderId="19" fillId="3" fontId="2" numFmtId="1" xfId="0" applyBorder="1" applyFont="1" applyNumberFormat="1"/>
    <xf borderId="13" fillId="3" fontId="2" numFmtId="49" xfId="0" applyBorder="1" applyFont="1" applyNumberFormat="1"/>
    <xf borderId="13" fillId="3" fontId="2" numFmtId="0" xfId="0" applyBorder="1" applyFont="1"/>
    <xf borderId="14" fillId="3" fontId="2" numFmtId="0" xfId="0" applyBorder="1" applyFont="1"/>
    <xf borderId="0" fillId="3" fontId="4" numFmtId="0" xfId="0" applyAlignment="1" applyFont="1">
      <alignment shrinkToFit="0" vertical="bottom" wrapText="0"/>
    </xf>
    <xf borderId="0" fillId="3" fontId="11" numFmtId="0" xfId="0" applyAlignment="1" applyFont="1">
      <alignment horizontal="center" readingOrder="0" shrinkToFit="0" vertical="bottom" wrapText="0"/>
    </xf>
    <xf borderId="0" fillId="3" fontId="6" numFmtId="0" xfId="0" applyAlignment="1" applyFont="1">
      <alignment shrinkToFit="0" vertical="bottom" wrapText="0"/>
    </xf>
    <xf borderId="5" fillId="3" fontId="6" numFmtId="0" xfId="0" applyAlignment="1" applyBorder="1" applyFont="1">
      <alignment horizontal="left" readingOrder="0" shrinkToFit="0" wrapText="0"/>
    </xf>
    <xf borderId="2" fillId="3" fontId="5" numFmtId="0" xfId="0" applyAlignment="1" applyBorder="1" applyFont="1">
      <alignment horizontal="left" readingOrder="0" shrinkToFit="0" vertical="bottom" wrapText="0"/>
    </xf>
    <xf borderId="2" fillId="3" fontId="6" numFmtId="0" xfId="0" applyAlignment="1" applyBorder="1" applyFont="1">
      <alignment horizontal="left" readingOrder="0" shrinkToFit="0" vertical="bottom" wrapText="0"/>
    </xf>
    <xf borderId="3" fillId="3" fontId="6" numFmtId="0" xfId="0" applyAlignment="1" applyBorder="1" applyFont="1">
      <alignment horizontal="center" shrinkToFit="0" vertical="bottom" wrapText="0"/>
    </xf>
    <xf borderId="5" fillId="3" fontId="6" numFmtId="0" xfId="0" applyAlignment="1" applyBorder="1" applyFont="1">
      <alignment readingOrder="0" shrinkToFit="0" wrapText="0"/>
    </xf>
    <xf borderId="3" fillId="3" fontId="5" numFmtId="0" xfId="0" applyAlignment="1" applyBorder="1" applyFont="1">
      <alignment horizontal="left" readingOrder="0" shrinkToFit="0" vertical="top" wrapText="0"/>
    </xf>
    <xf borderId="2" fillId="3" fontId="5" numFmtId="0" xfId="0" applyAlignment="1" applyBorder="1" applyFont="1">
      <alignment readingOrder="0" shrinkToFit="0" vertical="top" wrapText="0"/>
    </xf>
    <xf borderId="0" fillId="3" fontId="12" numFmtId="0" xfId="0" applyAlignment="1" applyFont="1">
      <alignment shrinkToFit="0" vertical="bottom" wrapText="0"/>
    </xf>
    <xf borderId="0" fillId="3" fontId="13" numFmtId="0" xfId="0" applyAlignment="1" applyFont="1">
      <alignment shrinkToFit="0" vertical="bottom" wrapText="0"/>
    </xf>
    <xf borderId="5" fillId="4" fontId="9" numFmtId="0" xfId="0" applyAlignment="1" applyBorder="1" applyFont="1">
      <alignment horizontal="center" readingOrder="0" shrinkToFit="0" vertical="bottom" wrapText="0"/>
    </xf>
    <xf borderId="5" fillId="4" fontId="9" numFmtId="0" xfId="0" applyAlignment="1" applyBorder="1" applyFont="1">
      <alignment horizontal="center" readingOrder="0" vertical="bottom"/>
    </xf>
    <xf borderId="5" fillId="3" fontId="4" numFmtId="0" xfId="0" applyAlignment="1" applyBorder="1" applyFont="1">
      <alignment horizontal="center" readingOrder="0" shrinkToFit="0" vertical="bottom" wrapText="0"/>
    </xf>
    <xf borderId="5" fillId="0" fontId="14" numFmtId="0" xfId="0" applyAlignment="1" applyBorder="1" applyFont="1">
      <alignment horizontal="left" readingOrder="0" shrinkToFit="0" wrapText="0"/>
    </xf>
    <xf borderId="5" fillId="3" fontId="4" numFmtId="0" xfId="0" applyAlignment="1" applyBorder="1" applyFont="1">
      <alignment horizontal="center" shrinkToFit="0" vertical="bottom" wrapText="0"/>
    </xf>
    <xf borderId="5" fillId="3" fontId="15" numFmtId="0" xfId="0" applyAlignment="1" applyBorder="1" applyFont="1">
      <alignment shrinkToFit="0" vertical="bottom" wrapText="0"/>
    </xf>
    <xf borderId="5" fillId="4" fontId="16" numFmtId="0" xfId="0" applyAlignment="1" applyBorder="1" applyFont="1">
      <alignment horizontal="center" shrinkToFit="0" vertical="bottom" wrapText="0"/>
    </xf>
    <xf borderId="5" fillId="4" fontId="17" numFmtId="0" xfId="0" applyAlignment="1" applyBorder="1" applyFont="1">
      <alignment readingOrder="0" shrinkToFit="0" wrapText="0"/>
    </xf>
    <xf borderId="5" fillId="4" fontId="16" numFmtId="0" xfId="0" applyAlignment="1" applyBorder="1" applyFont="1">
      <alignment horizontal="center" readingOrder="0" shrinkToFit="0" vertical="bottom" wrapText="0"/>
    </xf>
    <xf borderId="0" fillId="3" fontId="4" numFmtId="0" xfId="0" applyAlignment="1" applyFont="1">
      <alignment horizontal="center" shrinkToFit="0" vertical="bottom" wrapText="0"/>
    </xf>
    <xf borderId="0" fillId="3" fontId="6" numFmtId="0" xfId="0" applyAlignment="1" applyFont="1">
      <alignment horizontal="left" readingOrder="0" shrinkToFit="0" vertical="bottom" wrapText="0"/>
    </xf>
    <xf borderId="0" fillId="3" fontId="6" numFmtId="0" xfId="0" applyAlignment="1" applyFont="1">
      <alignment horizontal="right" readingOrder="0" vertical="bottom"/>
    </xf>
    <xf borderId="0" fillId="3" fontId="4" numFmtId="0" xfId="0" applyAlignment="1" applyFont="1">
      <alignment readingOrder="0" shrinkToFit="0" vertical="bottom" wrapText="0"/>
    </xf>
    <xf borderId="0" fillId="3" fontId="18" numFmtId="0" xfId="0" applyAlignment="1" applyFont="1">
      <alignment horizontal="center" vertical="bottom"/>
    </xf>
    <xf borderId="0" fillId="0" fontId="19" numFmtId="0" xfId="0" applyAlignment="1" applyFont="1">
      <alignment horizontal="left" shrinkToFit="0" vertical="top" wrapText="0"/>
    </xf>
    <xf borderId="20" fillId="3" fontId="20" numFmtId="0" xfId="0" applyAlignment="1" applyBorder="1" applyFont="1">
      <alignment shrinkToFit="0" vertical="bottom" wrapText="1"/>
    </xf>
    <xf borderId="21" fillId="0" fontId="8" numFmtId="0" xfId="0" applyBorder="1" applyFont="1"/>
    <xf borderId="22" fillId="3" fontId="21" numFmtId="49" xfId="0" applyAlignment="1" applyBorder="1" applyFont="1" applyNumberFormat="1">
      <alignment shrinkToFit="0" vertical="bottom" wrapText="1"/>
    </xf>
    <xf borderId="23" fillId="0" fontId="8" numFmtId="0" xfId="0" applyBorder="1" applyFont="1"/>
    <xf borderId="24" fillId="0" fontId="8" numFmtId="0" xfId="0" applyBorder="1" applyFont="1"/>
    <xf borderId="25" fillId="3" fontId="20" numFmtId="0" xfId="0" applyAlignment="1" applyBorder="1" applyFont="1">
      <alignment shrinkToFit="0" vertical="bottom" wrapText="1"/>
    </xf>
    <xf borderId="26" fillId="0" fontId="8" numFmtId="0" xfId="0" applyBorder="1" applyFont="1"/>
    <xf borderId="27" fillId="0" fontId="8" numFmtId="0" xfId="0" applyBorder="1" applyFont="1"/>
    <xf borderId="22" fillId="3" fontId="22" numFmtId="49" xfId="0" applyAlignment="1" applyBorder="1" applyFont="1" applyNumberFormat="1">
      <alignment horizontal="center" shrinkToFit="0" vertical="bottom" wrapText="1"/>
    </xf>
    <xf borderId="28" fillId="0" fontId="8" numFmtId="0" xfId="0" applyBorder="1" applyFont="1"/>
    <xf borderId="0" fillId="0" fontId="2" numFmtId="49" xfId="0" applyAlignment="1" applyFont="1" applyNumberFormat="1">
      <alignment vertical="bottom"/>
    </xf>
    <xf borderId="29" fillId="3" fontId="20" numFmtId="0" xfId="0" applyAlignment="1" applyBorder="1" applyFont="1">
      <alignment shrinkToFit="0" vertical="bottom" wrapText="1"/>
    </xf>
    <xf borderId="30" fillId="3" fontId="21" numFmtId="0" xfId="0" applyAlignment="1" applyBorder="1" applyFont="1">
      <alignment shrinkToFit="0" vertical="bottom" wrapText="1"/>
    </xf>
    <xf borderId="31" fillId="0" fontId="8" numFmtId="0" xfId="0" applyBorder="1" applyFont="1"/>
    <xf borderId="32" fillId="0" fontId="8" numFmtId="0" xfId="0" applyBorder="1" applyFont="1"/>
    <xf borderId="2" fillId="3" fontId="20" numFmtId="0" xfId="0" applyAlignment="1" applyBorder="1" applyFont="1">
      <alignment shrinkToFit="0" vertical="bottom" wrapText="1"/>
    </xf>
    <xf borderId="33" fillId="3" fontId="2" numFmtId="0" xfId="0" applyAlignment="1" applyBorder="1" applyFont="1">
      <alignment vertical="bottom"/>
    </xf>
    <xf borderId="34" fillId="0" fontId="8" numFmtId="0" xfId="0" applyBorder="1" applyFont="1"/>
    <xf borderId="35" fillId="3" fontId="2" numFmtId="0" xfId="0" applyAlignment="1" applyBorder="1" applyFont="1">
      <alignment vertical="bottom"/>
    </xf>
    <xf borderId="36" fillId="3" fontId="2" numFmtId="0" xfId="0" applyAlignment="1" applyBorder="1" applyFont="1">
      <alignment vertical="bottom"/>
    </xf>
    <xf borderId="2" fillId="3" fontId="21" numFmtId="0" xfId="0" applyAlignment="1" applyBorder="1" applyFont="1">
      <alignment shrinkToFit="0" vertical="bottom" wrapText="1"/>
    </xf>
    <xf borderId="37" fillId="0" fontId="8" numFmtId="0" xfId="0" applyBorder="1" applyFont="1"/>
    <xf borderId="29" fillId="3" fontId="20" numFmtId="0" xfId="0" applyAlignment="1" applyBorder="1" applyFont="1">
      <alignment horizontal="center"/>
    </xf>
    <xf borderId="2" fillId="3" fontId="20" numFmtId="0" xfId="0" applyAlignment="1" applyBorder="1" applyFont="1">
      <alignment horizontal="center" shrinkToFit="0" wrapText="1"/>
    </xf>
    <xf borderId="38" fillId="3" fontId="20" numFmtId="0" xfId="0" applyAlignment="1" applyBorder="1" applyFont="1">
      <alignment horizontal="center" shrinkToFit="0" wrapText="1"/>
    </xf>
    <xf borderId="39" fillId="3" fontId="22" numFmtId="0" xfId="0" applyAlignment="1" applyBorder="1" applyFont="1">
      <alignment horizontal="center"/>
    </xf>
    <xf borderId="40" fillId="0" fontId="8" numFmtId="0" xfId="0" applyBorder="1" applyFont="1"/>
    <xf borderId="41" fillId="3" fontId="22" numFmtId="0" xfId="0" applyAlignment="1" applyBorder="1" applyFont="1">
      <alignment horizontal="center"/>
    </xf>
    <xf borderId="42" fillId="0" fontId="8" numFmtId="0" xfId="0" applyBorder="1" applyFont="1"/>
    <xf borderId="43" fillId="3" fontId="22" numFmtId="0" xfId="0" applyAlignment="1" applyBorder="1" applyFont="1">
      <alignment horizontal="center"/>
    </xf>
    <xf borderId="44" fillId="0" fontId="8" numFmtId="0" xfId="0" applyBorder="1" applyFont="1"/>
    <xf borderId="45" fillId="0" fontId="2" numFmtId="0" xfId="0" applyAlignment="1" applyBorder="1" applyFont="1">
      <alignment vertical="bottom"/>
    </xf>
    <xf borderId="46" fillId="4" fontId="2" numFmtId="0" xfId="0" applyAlignment="1" applyBorder="1" applyFont="1">
      <alignment vertical="bottom"/>
    </xf>
    <xf borderId="47" fillId="4" fontId="2" numFmtId="0" xfId="0" applyAlignment="1" applyBorder="1" applyFont="1">
      <alignment vertical="bottom"/>
    </xf>
    <xf borderId="47" fillId="4" fontId="23" numFmtId="0" xfId="0" applyAlignment="1" applyBorder="1" applyFont="1">
      <alignment horizontal="right" textRotation="180" vertical="top"/>
    </xf>
    <xf borderId="48" fillId="4" fontId="23" numFmtId="0" xfId="0" applyAlignment="1" applyBorder="1" applyFont="1">
      <alignment horizontal="right" textRotation="180" vertical="top"/>
    </xf>
    <xf borderId="49" fillId="4" fontId="23" numFmtId="0" xfId="0" applyBorder="1" applyFont="1"/>
    <xf borderId="50" fillId="3" fontId="20" numFmtId="0" xfId="0" applyAlignment="1" applyBorder="1" applyFont="1">
      <alignment vertical="top"/>
    </xf>
    <xf borderId="51" fillId="3" fontId="2" numFmtId="0" xfId="0" applyAlignment="1" applyBorder="1" applyFont="1">
      <alignment vertical="top"/>
    </xf>
    <xf borderId="52" fillId="3" fontId="2" numFmtId="0" xfId="0" applyAlignment="1" applyBorder="1" applyFont="1">
      <alignment vertical="top"/>
    </xf>
    <xf borderId="53" fillId="6" fontId="2" numFmtId="0" xfId="0" applyAlignment="1" applyBorder="1" applyFill="1" applyFont="1">
      <alignment vertical="bottom"/>
    </xf>
    <xf borderId="5" fillId="0" fontId="2" numFmtId="0" xfId="0" applyAlignment="1" applyBorder="1" applyFont="1">
      <alignment vertical="bottom"/>
    </xf>
    <xf borderId="54" fillId="0" fontId="2" numFmtId="0" xfId="0" applyAlignment="1" applyBorder="1" applyFont="1">
      <alignment vertical="bottom"/>
    </xf>
    <xf borderId="55" fillId="4" fontId="2" numFmtId="0" xfId="0" applyBorder="1" applyFont="1"/>
    <xf borderId="50" fillId="3" fontId="2" numFmtId="0" xfId="0" applyAlignment="1" applyBorder="1" applyFont="1">
      <alignment vertical="top"/>
    </xf>
    <xf borderId="1" fillId="6" fontId="2" numFmtId="0" xfId="0" applyAlignment="1" applyBorder="1" applyFont="1">
      <alignment vertical="bottom"/>
    </xf>
    <xf borderId="52" fillId="3" fontId="22" numFmtId="0" xfId="0" applyAlignment="1" applyBorder="1" applyFont="1">
      <alignment horizontal="right" vertical="top"/>
    </xf>
    <xf borderId="5" fillId="0" fontId="24" numFmtId="0" xfId="0" applyAlignment="1" applyBorder="1" applyFont="1">
      <alignment horizontal="center" vertical="bottom"/>
    </xf>
    <xf borderId="0" fillId="0" fontId="22" numFmtId="0" xfId="0" applyAlignment="1" applyFont="1">
      <alignment horizontal="right" vertical="bottom"/>
    </xf>
    <xf borderId="56" fillId="3" fontId="2" numFmtId="0" xfId="0" applyAlignment="1" applyBorder="1" applyFont="1">
      <alignment vertical="top"/>
    </xf>
    <xf borderId="57" fillId="3" fontId="2" numFmtId="0" xfId="0" applyAlignment="1" applyBorder="1" applyFont="1">
      <alignment vertical="top"/>
    </xf>
    <xf borderId="58" fillId="3" fontId="2" numFmtId="0" xfId="0" applyAlignment="1" applyBorder="1" applyFont="1">
      <alignment vertical="top"/>
    </xf>
    <xf borderId="59" fillId="6" fontId="2" numFmtId="0" xfId="0" applyAlignment="1" applyBorder="1" applyFont="1">
      <alignment vertical="bottom"/>
    </xf>
    <xf borderId="60" fillId="0" fontId="2" numFmtId="0" xfId="0" applyAlignment="1" applyBorder="1" applyFont="1">
      <alignment vertical="bottom"/>
    </xf>
    <xf borderId="61" fillId="0" fontId="2" numFmtId="0" xfId="0" applyAlignment="1" applyBorder="1" applyFont="1">
      <alignment vertical="bottom"/>
    </xf>
    <xf borderId="49" fillId="4" fontId="23" numFmtId="0" xfId="0" applyAlignment="1" applyBorder="1" applyFont="1">
      <alignment vertical="top"/>
    </xf>
    <xf borderId="62" fillId="3" fontId="20" numFmtId="0" xfId="0" applyAlignment="1" applyBorder="1" applyFont="1">
      <alignment vertical="bottom"/>
    </xf>
    <xf borderId="63" fillId="3" fontId="2" numFmtId="0" xfId="0" applyAlignment="1" applyBorder="1" applyFont="1">
      <alignment vertical="bottom"/>
    </xf>
    <xf borderId="64" fillId="6" fontId="2" numFmtId="0" xfId="0" applyAlignment="1" applyBorder="1" applyFont="1">
      <alignment vertical="bottom"/>
    </xf>
    <xf borderId="65" fillId="0" fontId="2" numFmtId="0" xfId="0" applyAlignment="1" applyBorder="1" applyFont="1">
      <alignment vertical="bottom"/>
    </xf>
    <xf borderId="66" fillId="0" fontId="2" numFmtId="0" xfId="0" applyAlignment="1" applyBorder="1" applyFont="1">
      <alignment vertical="bottom"/>
    </xf>
    <xf borderId="55" fillId="4" fontId="2" numFmtId="0" xfId="0" applyAlignment="1" applyBorder="1" applyFont="1">
      <alignment vertical="top"/>
    </xf>
    <xf borderId="50" fillId="3" fontId="20" numFmtId="0" xfId="0" applyAlignment="1" applyBorder="1" applyFont="1">
      <alignment horizontal="right" vertical="bottom"/>
    </xf>
    <xf borderId="51" fillId="3" fontId="2" numFmtId="0" xfId="0" applyAlignment="1" applyBorder="1" applyFont="1">
      <alignment vertical="bottom"/>
    </xf>
    <xf borderId="52" fillId="3" fontId="2" numFmtId="0" xfId="0" applyAlignment="1" applyBorder="1" applyFont="1">
      <alignment vertical="bottom"/>
    </xf>
    <xf borderId="5" fillId="6" fontId="2" numFmtId="0" xfId="0" applyAlignment="1" applyBorder="1" applyFont="1">
      <alignment vertical="bottom"/>
    </xf>
    <xf borderId="50" fillId="3" fontId="2" numFmtId="0" xfId="0" applyAlignment="1" applyBorder="1" applyFont="1">
      <alignment vertical="bottom"/>
    </xf>
    <xf borderId="52" fillId="3" fontId="22" numFmtId="0" xfId="0" applyAlignment="1" applyBorder="1" applyFont="1">
      <alignment horizontal="right" vertical="bottom"/>
    </xf>
    <xf borderId="50" fillId="3" fontId="20" numFmtId="0" xfId="0" applyAlignment="1" applyBorder="1" applyFont="1">
      <alignment vertical="bottom"/>
    </xf>
    <xf borderId="67" fillId="3" fontId="2" numFmtId="0" xfId="0" applyAlignment="1" applyBorder="1" applyFont="1">
      <alignment vertical="bottom"/>
    </xf>
    <xf borderId="53" fillId="3" fontId="2" numFmtId="0" xfId="0" applyAlignment="1" applyBorder="1" applyFont="1">
      <alignment vertical="bottom"/>
    </xf>
    <xf borderId="68" fillId="3" fontId="2" numFmtId="0" xfId="0" applyAlignment="1" applyBorder="1" applyFont="1">
      <alignment vertical="bottom"/>
    </xf>
    <xf borderId="69" fillId="6" fontId="2" numFmtId="0" xfId="0" applyAlignment="1" applyBorder="1" applyFont="1">
      <alignment vertical="bottom"/>
    </xf>
    <xf borderId="70" fillId="0" fontId="2" numFmtId="0" xfId="0" applyAlignment="1" applyBorder="1" applyFont="1">
      <alignment vertical="bottom"/>
    </xf>
    <xf borderId="71" fillId="0" fontId="2" numFmtId="0" xfId="0" applyAlignment="1" applyBorder="1" applyFont="1">
      <alignment vertical="bottom"/>
    </xf>
    <xf borderId="72" fillId="0" fontId="22" numFmtId="0" xfId="0" applyAlignment="1" applyBorder="1" applyFont="1">
      <alignment vertical="bottom"/>
    </xf>
    <xf borderId="73" fillId="0" fontId="8" numFmtId="0" xfId="0" applyBorder="1" applyFont="1"/>
    <xf borderId="74" fillId="0" fontId="8" numFmtId="0" xfId="0" applyBorder="1" applyFont="1"/>
    <xf borderId="75" fillId="0" fontId="2" numFmtId="0" xfId="0" applyAlignment="1" applyBorder="1" applyFont="1">
      <alignment vertical="bottom"/>
    </xf>
    <xf borderId="75" fillId="0" fontId="25" numFmtId="0" xfId="0" applyAlignment="1" applyBorder="1" applyFont="1">
      <alignment horizontal="center" vertical="bottom"/>
    </xf>
    <xf borderId="76" fillId="0" fontId="2" numFmtId="0" xfId="0" applyAlignment="1" applyBorder="1" applyFont="1">
      <alignment vertical="bottom"/>
    </xf>
    <xf borderId="77" fillId="4" fontId="2" numFmtId="0" xfId="0" applyAlignment="1" applyBorder="1" applyFont="1">
      <alignment vertical="top"/>
    </xf>
    <xf borderId="2" fillId="0" fontId="22" numFmtId="0" xfId="0" applyAlignment="1" applyBorder="1" applyFont="1">
      <alignment vertical="bottom"/>
    </xf>
    <xf borderId="2" fillId="0" fontId="22" numFmtId="0" xfId="0" applyAlignment="1" applyBorder="1" applyFont="1">
      <alignment vertical="top"/>
    </xf>
    <xf borderId="5" fillId="0" fontId="22" numFmtId="165" xfId="0" applyAlignment="1" applyBorder="1" applyFont="1" applyNumberFormat="1">
      <alignment horizontal="center" textRotation="255" vertical="top"/>
    </xf>
    <xf borderId="5" fillId="0" fontId="2" numFmtId="165" xfId="0" applyAlignment="1" applyBorder="1" applyFont="1" applyNumberFormat="1">
      <alignment vertical="top"/>
    </xf>
    <xf borderId="54" fillId="0" fontId="2" numFmtId="165" xfId="0" applyAlignment="1" applyBorder="1" applyFont="1" applyNumberFormat="1">
      <alignment vertical="top"/>
    </xf>
    <xf borderId="78" fillId="4" fontId="2" numFmtId="0" xfId="0" applyAlignment="1" applyBorder="1" applyFont="1">
      <alignment vertical="top"/>
    </xf>
    <xf borderId="79" fillId="0" fontId="22" numFmtId="0" xfId="0" applyAlignment="1" applyBorder="1" applyFont="1">
      <alignment vertical="top"/>
    </xf>
    <xf borderId="80" fillId="0" fontId="8" numFmtId="0" xfId="0" applyBorder="1" applyFont="1"/>
    <xf borderId="81" fillId="0" fontId="8" numFmtId="0" xfId="0" applyBorder="1" applyFont="1"/>
    <xf borderId="2" fillId="3" fontId="20" numFmtId="0" xfId="0" applyAlignment="1" applyBorder="1" applyFont="1">
      <alignment horizontal="left" readingOrder="0" vertical="bottom"/>
    </xf>
    <xf borderId="2" fillId="3" fontId="21" numFmtId="0" xfId="0" applyAlignment="1" applyBorder="1" applyFont="1">
      <alignment horizontal="left" readingOrder="0" vertical="bottom"/>
    </xf>
    <xf borderId="82" fillId="3" fontId="20" numFmtId="0" xfId="0" applyAlignment="1" applyBorder="1" applyFont="1">
      <alignment horizontal="left" readingOrder="0" vertical="bottom"/>
    </xf>
    <xf borderId="82" fillId="0" fontId="8" numFmtId="0" xfId="0" applyBorder="1" applyFont="1"/>
    <xf borderId="2" fillId="3" fontId="22" numFmtId="0" xfId="0" applyAlignment="1" applyBorder="1" applyFont="1">
      <alignment horizontal="center" readingOrder="0" vertical="bottom"/>
    </xf>
    <xf borderId="0" fillId="0" fontId="22" numFmtId="0" xfId="0" applyAlignment="1" applyFont="1">
      <alignment shrinkToFit="0" vertical="bottom" wrapText="0"/>
    </xf>
    <xf borderId="83" fillId="3" fontId="21" numFmtId="0" xfId="0" applyAlignment="1" applyBorder="1" applyFont="1">
      <alignment horizontal="left" readingOrder="0" vertical="bottom"/>
    </xf>
    <xf borderId="83" fillId="0" fontId="8" numFmtId="0" xfId="0" applyBorder="1" applyFont="1"/>
    <xf borderId="3" fillId="3" fontId="20" numFmtId="0" xfId="0" applyAlignment="1" applyBorder="1" applyFont="1">
      <alignment horizontal="left" readingOrder="0" vertical="bottom"/>
    </xf>
    <xf borderId="83" fillId="3" fontId="21" numFmtId="0" xfId="0" applyAlignment="1" applyBorder="1" applyFont="1">
      <alignment horizontal="left" vertical="bottom"/>
    </xf>
    <xf borderId="83" fillId="3" fontId="21" numFmtId="0" xfId="0" applyAlignment="1" applyBorder="1" applyFont="1">
      <alignment vertical="bottom"/>
    </xf>
    <xf borderId="84" fillId="3" fontId="21" numFmtId="0" xfId="0" applyAlignment="1" applyBorder="1" applyFont="1">
      <alignment vertical="bottom"/>
    </xf>
    <xf borderId="3" fillId="3" fontId="21" numFmtId="0" xfId="0" applyAlignment="1" applyBorder="1" applyFont="1">
      <alignment horizontal="left" readingOrder="0" vertical="bottom"/>
    </xf>
    <xf borderId="2" fillId="3" fontId="20" numFmtId="0" xfId="0" applyAlignment="1" applyBorder="1" applyFont="1">
      <alignment horizontal="center" readingOrder="0" shrinkToFit="0" wrapText="0"/>
    </xf>
    <xf borderId="3" fillId="3" fontId="20" numFmtId="0" xfId="0" applyAlignment="1" applyBorder="1" applyFont="1">
      <alignment horizontal="center" readingOrder="0"/>
    </xf>
    <xf borderId="2" fillId="3" fontId="20" numFmtId="0" xfId="0" applyAlignment="1" applyBorder="1" applyFont="1">
      <alignment horizontal="center" readingOrder="0"/>
    </xf>
    <xf borderId="2" fillId="3" fontId="22" numFmtId="0" xfId="0" applyAlignment="1" applyBorder="1" applyFont="1">
      <alignment horizontal="center" readingOrder="0" shrinkToFit="0" wrapText="0"/>
    </xf>
    <xf borderId="3" fillId="3" fontId="22" numFmtId="0" xfId="0" applyAlignment="1" applyBorder="1" applyFont="1">
      <alignment horizontal="center" readingOrder="0" shrinkToFit="0" wrapText="0"/>
    </xf>
    <xf borderId="83" fillId="3" fontId="22" numFmtId="0" xfId="0" applyAlignment="1" applyBorder="1" applyFont="1">
      <alignment horizontal="center" readingOrder="0" shrinkToFit="0" wrapText="0"/>
    </xf>
    <xf borderId="85" fillId="3" fontId="22" numFmtId="0" xfId="0" applyAlignment="1" applyBorder="1" applyFont="1">
      <alignment horizontal="center" readingOrder="0" shrinkToFit="0" wrapText="0"/>
    </xf>
    <xf borderId="0" fillId="0" fontId="20" numFmtId="0" xfId="0" applyAlignment="1" applyFont="1">
      <alignment horizontal="left" shrinkToFit="0" vertical="bottom" wrapText="0"/>
    </xf>
    <xf borderId="0" fillId="0" fontId="22" numFmtId="0" xfId="0" applyAlignment="1" applyFont="1">
      <alignment horizontal="right" shrinkToFit="0" vertical="bottom" wrapText="0"/>
    </xf>
    <xf borderId="86" fillId="4" fontId="9" numFmtId="0" xfId="0" applyAlignment="1" applyBorder="1" applyFont="1">
      <alignment horizontal="center" shrinkToFit="0" textRotation="180" wrapText="0"/>
    </xf>
    <xf borderId="87" fillId="4" fontId="23" numFmtId="0" xfId="0" applyAlignment="1" applyBorder="1" applyFont="1">
      <alignment horizontal="left" shrinkToFit="0" textRotation="180" vertical="bottom" wrapText="0"/>
    </xf>
    <xf borderId="87" fillId="4" fontId="26" numFmtId="0" xfId="0" applyAlignment="1" applyBorder="1" applyFont="1">
      <alignment shrinkToFit="0" textRotation="180" vertical="bottom" wrapText="0"/>
    </xf>
    <xf borderId="87" fillId="4" fontId="26" numFmtId="0" xfId="0" applyAlignment="1" applyBorder="1" applyFont="1">
      <alignment horizontal="right" shrinkToFit="0" textRotation="180" vertical="bottom" wrapText="0"/>
    </xf>
    <xf borderId="87" fillId="4" fontId="23" numFmtId="0" xfId="0" applyAlignment="1" applyBorder="1" applyFont="1">
      <alignment readingOrder="0" shrinkToFit="0" textRotation="180" vertical="top" wrapText="0"/>
    </xf>
    <xf borderId="88" fillId="4" fontId="23" numFmtId="0" xfId="0" applyAlignment="1" applyBorder="1" applyFont="1">
      <alignment readingOrder="0" shrinkToFit="0" textRotation="180" vertical="top" wrapText="0"/>
    </xf>
    <xf borderId="0" fillId="0" fontId="20" numFmtId="0" xfId="0" applyAlignment="1" applyFont="1">
      <alignment shrinkToFit="0" textRotation="180" vertical="bottom" wrapText="0"/>
    </xf>
    <xf borderId="0" fillId="0" fontId="22" numFmtId="0" xfId="0" applyAlignment="1" applyFont="1">
      <alignment shrinkToFit="0" textRotation="180" vertical="bottom" wrapText="0"/>
    </xf>
    <xf borderId="0" fillId="0" fontId="27" numFmtId="0" xfId="0" applyAlignment="1" applyFont="1">
      <alignment textRotation="180"/>
    </xf>
    <xf borderId="89" fillId="4" fontId="23" numFmtId="0" xfId="0" applyAlignment="1" applyBorder="1" applyFont="1">
      <alignment readingOrder="0" shrinkToFit="0" wrapText="0"/>
    </xf>
    <xf borderId="83" fillId="3" fontId="20" numFmtId="0" xfId="0" applyAlignment="1" applyBorder="1" applyFont="1">
      <alignment horizontal="left" readingOrder="0" shrinkToFit="0" vertical="top" wrapText="0"/>
    </xf>
    <xf borderId="83" fillId="3" fontId="22" numFmtId="0" xfId="0" applyAlignment="1" applyBorder="1" applyFont="1">
      <alignment horizontal="center" shrinkToFit="0" vertical="top" wrapText="0"/>
    </xf>
    <xf borderId="84" fillId="3" fontId="22" numFmtId="0" xfId="0" applyAlignment="1" applyBorder="1" applyFont="1">
      <alignment horizontal="right" shrinkToFit="0" vertical="top" wrapText="0"/>
    </xf>
    <xf borderId="65" fillId="0" fontId="3" numFmtId="0" xfId="0" applyAlignment="1" applyBorder="1" applyFont="1">
      <alignment horizontal="center" shrinkToFit="0" vertical="bottom" wrapText="0"/>
    </xf>
    <xf borderId="84" fillId="0" fontId="3" numFmtId="0" xfId="0" applyAlignment="1" applyBorder="1" applyFont="1">
      <alignment horizontal="center" shrinkToFit="0" vertical="bottom" wrapText="0"/>
    </xf>
    <xf borderId="90" fillId="0" fontId="3" numFmtId="0" xfId="0" applyAlignment="1" applyBorder="1" applyFont="1">
      <alignment horizontal="center" shrinkToFit="0" vertical="bottom" wrapText="0"/>
    </xf>
    <xf borderId="89" fillId="4" fontId="23" numFmtId="0" xfId="0" applyAlignment="1" applyBorder="1" applyFont="1">
      <alignment shrinkToFit="0" wrapText="0"/>
    </xf>
    <xf borderId="83" fillId="3" fontId="20" numFmtId="0" xfId="0" applyAlignment="1" applyBorder="1" applyFont="1">
      <alignment horizontal="left" shrinkToFit="0" vertical="top" wrapText="0"/>
    </xf>
    <xf borderId="84" fillId="3" fontId="2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0" fillId="0" fontId="20" numFmtId="0" xfId="0" applyAlignment="1" applyFont="1">
      <alignment horizontal="center" shrinkToFit="0" vertical="bottom" wrapText="0"/>
    </xf>
    <xf borderId="0" fillId="0" fontId="22" numFmtId="0" xfId="0" applyAlignment="1" applyFont="1">
      <alignment horizontal="right" readingOrder="0" shrinkToFit="0" vertical="bottom" wrapText="0"/>
    </xf>
    <xf borderId="4" fillId="3" fontId="22" numFmtId="0" xfId="0" applyAlignment="1" applyBorder="1" applyFont="1">
      <alignment horizontal="right" readingOrder="0" shrinkToFit="0" vertical="top" wrapText="0"/>
    </xf>
    <xf borderId="91" fillId="3" fontId="20" numFmtId="0" xfId="0" applyAlignment="1" applyBorder="1" applyFont="1">
      <alignment horizontal="left" shrinkToFit="0" vertical="top" wrapText="0"/>
    </xf>
    <xf borderId="91" fillId="3" fontId="22" numFmtId="0" xfId="0" applyAlignment="1" applyBorder="1" applyFont="1">
      <alignment horizontal="center" shrinkToFit="0" vertical="top" wrapText="0"/>
    </xf>
    <xf borderId="92" fillId="3" fontId="22" numFmtId="0" xfId="0" applyAlignment="1" applyBorder="1" applyFont="1">
      <alignment horizontal="right" shrinkToFit="0" vertical="top" wrapText="0"/>
    </xf>
    <xf borderId="93" fillId="0" fontId="3" numFmtId="0" xfId="0" applyAlignment="1" applyBorder="1" applyFont="1">
      <alignment horizontal="center" shrinkToFit="0" vertical="bottom" wrapText="0"/>
    </xf>
    <xf borderId="92" fillId="0" fontId="3" numFmtId="0" xfId="0" applyAlignment="1" applyBorder="1" applyFont="1">
      <alignment horizontal="center" shrinkToFit="0" vertical="bottom" wrapText="0"/>
    </xf>
    <xf borderId="94" fillId="0" fontId="3" numFmtId="0" xfId="0" applyAlignment="1" applyBorder="1" applyFont="1">
      <alignment horizontal="center" shrinkToFit="0" vertical="bottom" wrapText="0"/>
    </xf>
    <xf borderId="95" fillId="4" fontId="23" numFmtId="0" xfId="0" applyAlignment="1" applyBorder="1" applyFont="1">
      <alignment readingOrder="0" shrinkToFit="0" vertical="top" wrapText="0"/>
    </xf>
    <xf borderId="83" fillId="3" fontId="20" numFmtId="0" xfId="0" applyAlignment="1" applyBorder="1" applyFont="1">
      <alignment readingOrder="0" shrinkToFit="0" vertical="bottom" wrapText="0"/>
    </xf>
    <xf borderId="83" fillId="3" fontId="20" numFmtId="0" xfId="0" applyAlignment="1" applyBorder="1" applyFont="1">
      <alignment shrinkToFit="0" vertical="bottom" wrapText="0"/>
    </xf>
    <xf borderId="84" fillId="3" fontId="22" numFmtId="0" xfId="0" applyAlignment="1" applyBorder="1" applyFont="1">
      <alignment horizontal="right" shrinkToFit="0" vertical="bottom" wrapText="0"/>
    </xf>
    <xf borderId="89" fillId="4" fontId="23" numFmtId="0" xfId="0" applyAlignment="1" applyBorder="1" applyFont="1">
      <alignment shrinkToFit="0" vertical="top" wrapText="0"/>
    </xf>
    <xf borderId="83" fillId="3" fontId="22" numFmtId="0" xfId="0" applyAlignment="1" applyBorder="1" applyFont="1">
      <alignment shrinkToFit="0" vertical="bottom" wrapText="0"/>
    </xf>
    <xf borderId="84" fillId="3" fontId="22" numFmtId="0" xfId="0" applyAlignment="1" applyBorder="1" applyFont="1">
      <alignment horizontal="right" readingOrder="0" shrinkToFit="0" vertical="bottom" wrapText="0"/>
    </xf>
    <xf borderId="83" fillId="3" fontId="28" numFmtId="0" xfId="0" applyAlignment="1" applyBorder="1" applyFont="1">
      <alignment shrinkToFit="0" vertical="bottom" wrapText="0"/>
    </xf>
    <xf borderId="0" fillId="3" fontId="20" numFmtId="0" xfId="0" applyAlignment="1" applyFont="1">
      <alignment shrinkToFit="0" vertical="bottom" wrapText="0"/>
    </xf>
    <xf borderId="0" fillId="3" fontId="22" numFmtId="0" xfId="0" applyAlignment="1" applyFont="1">
      <alignment shrinkToFit="0" vertical="bottom" wrapText="0"/>
    </xf>
    <xf borderId="96" fillId="3" fontId="22" numFmtId="0" xfId="0" applyAlignment="1" applyBorder="1" applyFont="1">
      <alignment horizontal="right" readingOrder="0" shrinkToFit="0" vertical="bottom" wrapText="0"/>
    </xf>
    <xf borderId="96" fillId="0" fontId="3" numFmtId="0" xfId="0" applyAlignment="1" applyBorder="1" applyFont="1">
      <alignment horizontal="center" shrinkToFit="0" vertical="bottom" wrapText="0"/>
    </xf>
    <xf borderId="97" fillId="0" fontId="3" numFmtId="0" xfId="0" applyAlignment="1" applyBorder="1" applyFont="1">
      <alignment horizontal="center" shrinkToFit="0" vertical="bottom" wrapText="0"/>
    </xf>
    <xf borderId="73" fillId="0" fontId="22" numFmtId="0" xfId="0" applyAlignment="1" applyBorder="1" applyFont="1">
      <alignment horizontal="left" readingOrder="0" shrinkToFit="0" vertical="bottom" wrapText="0"/>
    </xf>
    <xf borderId="73" fillId="0" fontId="8" numFmtId="0" xfId="0" applyBorder="1" applyFont="1"/>
    <xf borderId="74" fillId="0" fontId="8" numFmtId="0" xfId="0" applyBorder="1" applyFont="1"/>
    <xf borderId="74" fillId="0" fontId="22" numFmtId="0" xfId="0" applyAlignment="1" applyBorder="1" applyFont="1">
      <alignment horizontal="center" readingOrder="0" shrinkToFit="0" vertical="bottom" wrapText="0"/>
    </xf>
    <xf borderId="98" fillId="0" fontId="22" numFmtId="0" xfId="0" applyAlignment="1" applyBorder="1" applyFont="1">
      <alignment horizontal="center" readingOrder="0" shrinkToFit="0" vertical="bottom" wrapText="0"/>
    </xf>
    <xf borderId="2" fillId="0" fontId="22" numFmtId="0" xfId="0" applyAlignment="1" applyBorder="1" applyFont="1">
      <alignment horizontal="left" readingOrder="0" shrinkToFit="0" vertical="bottom" wrapText="0"/>
    </xf>
    <xf borderId="5" fillId="0" fontId="22" numFmtId="0" xfId="0" applyAlignment="1" applyBorder="1" applyFont="1">
      <alignment horizontal="center" readingOrder="0" shrinkToFit="0" vertical="bottom" wrapText="0"/>
    </xf>
    <xf borderId="5" fillId="0" fontId="22" numFmtId="0" xfId="0" applyAlignment="1" applyBorder="1" applyFont="1">
      <alignment horizontal="center" shrinkToFit="0" vertical="bottom" wrapText="0"/>
    </xf>
    <xf borderId="90" fillId="0" fontId="22" numFmtId="0" xfId="0" applyAlignment="1" applyBorder="1" applyFont="1">
      <alignment horizontal="center" readingOrder="0" shrinkToFit="0" vertical="bottom" wrapText="0"/>
    </xf>
    <xf borderId="2" fillId="0" fontId="22" numFmtId="0" xfId="0" applyAlignment="1" applyBorder="1" applyFont="1">
      <alignment horizontal="left" readingOrder="0" shrinkToFit="0" vertical="top" wrapText="0"/>
    </xf>
    <xf borderId="5" fillId="0" fontId="22" numFmtId="0" xfId="0" applyAlignment="1" applyBorder="1" applyFont="1">
      <alignment horizontal="center" readingOrder="0" shrinkToFit="0" textRotation="180" vertical="top" wrapText="0"/>
    </xf>
    <xf borderId="5" fillId="0" fontId="22" numFmtId="166" xfId="0" applyAlignment="1" applyBorder="1" applyFont="1" applyNumberFormat="1">
      <alignment horizontal="center" readingOrder="0" shrinkToFit="0" textRotation="180" vertical="top" wrapText="0"/>
    </xf>
    <xf borderId="90" fillId="0" fontId="22" numFmtId="166" xfId="0" applyAlignment="1" applyBorder="1" applyFont="1" applyNumberFormat="1">
      <alignment horizontal="center" readingOrder="0" shrinkToFit="0" textRotation="180" vertical="top" wrapText="0"/>
    </xf>
    <xf borderId="99" fillId="4" fontId="23" numFmtId="0" xfId="0" applyAlignment="1" applyBorder="1" applyFont="1">
      <alignment shrinkToFit="0" vertical="top" wrapText="0"/>
    </xf>
    <xf borderId="80" fillId="0" fontId="22" numFmtId="0" xfId="0" applyAlignment="1" applyBorder="1" applyFont="1">
      <alignment horizontal="left" readingOrder="0" shrinkToFit="0" vertical="top" wrapText="0"/>
    </xf>
    <xf borderId="80" fillId="0" fontId="8" numFmtId="0" xfId="0" applyBorder="1" applyFont="1"/>
    <xf borderId="81" fillId="0" fontId="8" numFmtId="0" xfId="0" applyBorder="1" applyFont="1"/>
    <xf borderId="92" fillId="0" fontId="22" numFmtId="0" xfId="0" applyAlignment="1" applyBorder="1" applyFont="1">
      <alignment shrinkToFit="0" textRotation="255" vertical="bottom" wrapText="0"/>
    </xf>
    <xf borderId="92" fillId="0" fontId="22" numFmtId="0" xfId="0" applyAlignment="1" applyBorder="1" applyFont="1">
      <alignment horizontal="center" readingOrder="0" shrinkToFit="0" textRotation="255" vertical="bottom" wrapText="0"/>
    </xf>
    <xf borderId="94" fillId="0" fontId="22" numFmtId="0" xfId="0" applyAlignment="1" applyBorder="1" applyFont="1">
      <alignment horizontal="center" readingOrder="0" shrinkToFit="0" textRotation="255" vertical="bottom" wrapText="0"/>
    </xf>
    <xf borderId="0" fillId="0" fontId="23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6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14</v>
      </c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 t="s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16</v>
      </c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s">
        <v>17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18</v>
      </c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19</v>
      </c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20</v>
      </c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21</v>
      </c>
      <c r="B25" s="3"/>
      <c r="C25" s="10" t="s">
        <v>22</v>
      </c>
      <c r="D25" s="10" t="s">
        <v>22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24</v>
      </c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27</v>
      </c>
      <c r="B30" s="3"/>
      <c r="C30" s="10" t="s">
        <v>22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9" t="s">
        <v>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s"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0" t="s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" t="s">
        <v>32</v>
      </c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" t="s">
        <v>33</v>
      </c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9" t="s">
        <v>34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35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6" t="s">
        <v>36</v>
      </c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9" t="s">
        <v>37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38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40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41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42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 t="s">
        <v>43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39.25"/>
    <col customWidth="1" min="3" max="3" width="11.88"/>
    <col customWidth="1" min="4" max="4" width="7.0"/>
    <col customWidth="1" min="5" max="5" width="17.13"/>
    <col customWidth="1" min="6" max="6" width="30.38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/>
      <c r="B2" s="13" t="s">
        <v>44</v>
      </c>
      <c r="C2" s="14"/>
      <c r="D2" s="14"/>
      <c r="E2" s="14"/>
      <c r="F2" s="15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7"/>
      <c r="B3" s="11"/>
      <c r="C3" s="11"/>
      <c r="D3" s="11"/>
      <c r="E3" s="17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8" t="s">
        <v>45</v>
      </c>
      <c r="B4" s="19" t="s">
        <v>46</v>
      </c>
      <c r="C4" s="14"/>
      <c r="D4" s="15"/>
      <c r="E4" s="18" t="s">
        <v>47</v>
      </c>
      <c r="F4" s="20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8" t="s">
        <v>48</v>
      </c>
      <c r="B5" s="19" t="s">
        <v>49</v>
      </c>
      <c r="C5" s="14"/>
      <c r="D5" s="15"/>
      <c r="E5" s="18" t="s">
        <v>50</v>
      </c>
      <c r="F5" s="21" t="s">
        <v>51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22" t="s">
        <v>52</v>
      </c>
      <c r="B6" s="23" t="str">
        <f>B5&amp;"_"&amp;"XXX"&amp;"_"&amp;"vx.x"</f>
        <v>&lt;Project Code&gt;_XXX_vx.x</v>
      </c>
      <c r="C6" s="14"/>
      <c r="D6" s="15"/>
      <c r="E6" s="18" t="s">
        <v>53</v>
      </c>
      <c r="F6" s="2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4" t="s">
        <v>54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25" t="s">
        <v>55</v>
      </c>
      <c r="B10" s="26" t="s">
        <v>53</v>
      </c>
      <c r="C10" s="26" t="s">
        <v>56</v>
      </c>
      <c r="D10" s="26" t="s">
        <v>57</v>
      </c>
      <c r="E10" s="26" t="s">
        <v>58</v>
      </c>
      <c r="F10" s="27" t="s">
        <v>59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28" t="s">
        <v>60</v>
      </c>
      <c r="B11" s="29"/>
      <c r="C11" s="30"/>
      <c r="D11" s="30"/>
      <c r="E11" s="31"/>
      <c r="F11" s="32" t="s">
        <v>61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4"/>
      <c r="B12" s="29"/>
      <c r="C12" s="30"/>
      <c r="D12" s="30"/>
      <c r="E12" s="30"/>
      <c r="F12" s="35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4"/>
      <c r="B13" s="29"/>
      <c r="C13" s="30"/>
      <c r="D13" s="30"/>
      <c r="E13" s="30"/>
      <c r="F13" s="35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4"/>
      <c r="B14" s="29"/>
      <c r="C14" s="30"/>
      <c r="D14" s="30"/>
      <c r="E14" s="30"/>
      <c r="F14" s="35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4"/>
      <c r="B15" s="29"/>
      <c r="C15" s="30"/>
      <c r="D15" s="30"/>
      <c r="E15" s="30"/>
      <c r="F15" s="35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4"/>
      <c r="B16" s="29"/>
      <c r="C16" s="30"/>
      <c r="D16" s="30"/>
      <c r="E16" s="30"/>
      <c r="F16" s="35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6"/>
      <c r="B17" s="37"/>
      <c r="C17" s="38"/>
      <c r="D17" s="38"/>
      <c r="E17" s="38"/>
      <c r="F17" s="39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4">
    <mergeCell ref="B2:F2"/>
    <mergeCell ref="B4:D4"/>
    <mergeCell ref="B5:D5"/>
    <mergeCell ref="B6:D6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12.5"/>
    <col customWidth="1" min="3" max="3" width="30.63"/>
    <col customWidth="1" min="4" max="4" width="45.13"/>
    <col customWidth="1" min="5" max="5" width="10.5"/>
    <col customWidth="1" min="6" max="6" width="12.63"/>
  </cols>
  <sheetData>
    <row r="1">
      <c r="A1" s="40"/>
      <c r="B1" s="40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40"/>
      <c r="B2" s="40"/>
      <c r="C2" s="41" t="s">
        <v>62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40"/>
      <c r="B3" s="40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42" t="s">
        <v>45</v>
      </c>
      <c r="B4" s="43"/>
      <c r="C4" s="44" t="str">
        <f>Cover!B4</f>
        <v>&lt;Project Name&gt;</v>
      </c>
      <c r="D4" s="14"/>
      <c r="E4" s="14"/>
      <c r="F4" s="15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42" t="s">
        <v>48</v>
      </c>
      <c r="B5" s="43"/>
      <c r="C5" s="44" t="str">
        <f>Cover!B5</f>
        <v>&lt;Project Code&gt;</v>
      </c>
      <c r="D5" s="14"/>
      <c r="E5" s="14"/>
      <c r="F5" s="15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45" t="s">
        <v>63</v>
      </c>
      <c r="B6" s="15"/>
      <c r="C6" s="46" t="s">
        <v>64</v>
      </c>
      <c r="D6" s="14"/>
      <c r="E6" s="14"/>
      <c r="F6" s="15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40"/>
      <c r="B7" s="40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47" t="s">
        <v>65</v>
      </c>
      <c r="B8" s="48" t="s">
        <v>66</v>
      </c>
      <c r="C8" s="49" t="s">
        <v>67</v>
      </c>
      <c r="D8" s="50" t="s">
        <v>68</v>
      </c>
      <c r="E8" s="51" t="s">
        <v>69</v>
      </c>
      <c r="F8" s="52" t="s">
        <v>70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7.25" customHeight="1">
      <c r="A9" s="53">
        <v>1.0</v>
      </c>
      <c r="B9" s="54" t="s">
        <v>71</v>
      </c>
      <c r="C9" s="55" t="s">
        <v>72</v>
      </c>
      <c r="D9" s="56" t="s">
        <v>72</v>
      </c>
      <c r="E9" s="57"/>
      <c r="F9" s="58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53">
        <v>2.0</v>
      </c>
      <c r="B10" s="54" t="s">
        <v>73</v>
      </c>
      <c r="C10" s="55" t="s">
        <v>74</v>
      </c>
      <c r="D10" s="56" t="s">
        <v>74</v>
      </c>
      <c r="E10" s="57"/>
      <c r="F10" s="58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59"/>
      <c r="B11" s="60"/>
      <c r="C11" s="55" t="s">
        <v>75</v>
      </c>
      <c r="D11" s="56" t="s">
        <v>75</v>
      </c>
      <c r="E11" s="57"/>
      <c r="F11" s="58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59"/>
      <c r="B12" s="60"/>
      <c r="C12" s="55" t="s">
        <v>76</v>
      </c>
      <c r="D12" s="56" t="s">
        <v>76</v>
      </c>
      <c r="E12" s="57"/>
      <c r="F12" s="58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59"/>
      <c r="B13" s="60"/>
      <c r="C13" s="55" t="s">
        <v>77</v>
      </c>
      <c r="D13" s="56" t="s">
        <v>77</v>
      </c>
      <c r="E13" s="57"/>
      <c r="F13" s="58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59"/>
      <c r="B14" s="60"/>
      <c r="C14" s="55" t="s">
        <v>78</v>
      </c>
      <c r="D14" s="56" t="s">
        <v>78</v>
      </c>
      <c r="E14" s="57"/>
      <c r="F14" s="58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59"/>
      <c r="B15" s="60"/>
      <c r="C15" s="55" t="s">
        <v>79</v>
      </c>
      <c r="D15" s="56" t="s">
        <v>79</v>
      </c>
      <c r="E15" s="57"/>
      <c r="F15" s="58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59"/>
      <c r="B16" s="60"/>
      <c r="C16" s="61"/>
      <c r="D16" s="57"/>
      <c r="E16" s="57"/>
      <c r="F16" s="58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59"/>
      <c r="B17" s="60"/>
      <c r="C17" s="61"/>
      <c r="D17" s="57"/>
      <c r="E17" s="57"/>
      <c r="F17" s="58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59"/>
      <c r="B18" s="60"/>
      <c r="C18" s="61"/>
      <c r="D18" s="57"/>
      <c r="E18" s="57"/>
      <c r="F18" s="58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59"/>
      <c r="B19" s="60"/>
      <c r="C19" s="61"/>
      <c r="D19" s="57"/>
      <c r="E19" s="57"/>
      <c r="F19" s="58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62"/>
      <c r="B20" s="63"/>
      <c r="C20" s="64"/>
      <c r="D20" s="65"/>
      <c r="E20" s="65"/>
      <c r="F20" s="6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40"/>
      <c r="B21" s="40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40"/>
      <c r="B22" s="40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40"/>
      <c r="B23" s="40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40"/>
      <c r="B24" s="40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40"/>
      <c r="B25" s="40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40"/>
      <c r="B26" s="40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40"/>
      <c r="B27" s="40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40"/>
      <c r="B28" s="40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40"/>
      <c r="B29" s="40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40"/>
      <c r="B30" s="40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40"/>
      <c r="B31" s="40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40"/>
      <c r="B32" s="40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40"/>
      <c r="B33" s="40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40"/>
      <c r="B34" s="40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40"/>
      <c r="B35" s="40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40"/>
      <c r="B36" s="40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40"/>
      <c r="B37" s="40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40"/>
      <c r="B38" s="40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40"/>
      <c r="B39" s="40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40"/>
      <c r="B40" s="40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40"/>
      <c r="B41" s="40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40"/>
      <c r="B42" s="40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40"/>
      <c r="B43" s="40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40"/>
      <c r="B44" s="40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40"/>
      <c r="B45" s="40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40"/>
      <c r="B46" s="40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40"/>
      <c r="B47" s="40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40"/>
      <c r="B48" s="40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40"/>
      <c r="B49" s="40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40"/>
      <c r="B50" s="40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40"/>
      <c r="B51" s="40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40"/>
      <c r="B52" s="40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40"/>
      <c r="B53" s="40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40"/>
      <c r="B54" s="40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40"/>
      <c r="B55" s="40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40"/>
      <c r="B56" s="40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40"/>
      <c r="B57" s="40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40"/>
      <c r="B58" s="40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40"/>
      <c r="B59" s="40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40"/>
      <c r="B60" s="40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40"/>
      <c r="B61" s="40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40"/>
      <c r="B62" s="40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40"/>
      <c r="B63" s="40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40"/>
      <c r="B64" s="40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40"/>
      <c r="B65" s="40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40"/>
      <c r="B66" s="40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40"/>
      <c r="B67" s="40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40"/>
      <c r="B68" s="40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40"/>
      <c r="B69" s="40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40"/>
      <c r="B70" s="40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40"/>
      <c r="B71" s="40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40"/>
      <c r="B72" s="40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40"/>
      <c r="B73" s="40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40"/>
      <c r="B74" s="40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40"/>
      <c r="B75" s="40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40"/>
      <c r="B76" s="40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40"/>
      <c r="B77" s="40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40"/>
      <c r="B78" s="40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40"/>
      <c r="B79" s="40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40"/>
      <c r="B80" s="40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40"/>
      <c r="B81" s="40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40"/>
      <c r="B82" s="40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40"/>
      <c r="B83" s="40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40"/>
      <c r="B84" s="40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40"/>
      <c r="B85" s="40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40"/>
      <c r="B86" s="40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40"/>
      <c r="B87" s="40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40"/>
      <c r="B88" s="40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40"/>
      <c r="B89" s="40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40"/>
      <c r="B90" s="40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40"/>
      <c r="B91" s="40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40"/>
      <c r="B92" s="40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40"/>
      <c r="B93" s="40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40"/>
      <c r="B94" s="40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40"/>
      <c r="B95" s="40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40"/>
      <c r="B96" s="40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40"/>
      <c r="B97" s="40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40"/>
      <c r="B98" s="40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40"/>
      <c r="B99" s="40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40"/>
      <c r="B100" s="40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40"/>
      <c r="B101" s="40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40"/>
      <c r="B102" s="40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40"/>
      <c r="B103" s="40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40"/>
      <c r="B104" s="40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40"/>
      <c r="B105" s="40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40"/>
      <c r="B106" s="40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40"/>
      <c r="B107" s="40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40"/>
      <c r="B108" s="40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40"/>
      <c r="B109" s="40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40"/>
      <c r="B110" s="40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40"/>
      <c r="B111" s="40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40"/>
      <c r="B112" s="40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40"/>
      <c r="B113" s="40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40"/>
      <c r="B114" s="40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40"/>
      <c r="B115" s="40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40"/>
      <c r="B116" s="40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40"/>
      <c r="B117" s="40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40"/>
      <c r="B118" s="40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40"/>
      <c r="B119" s="40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40"/>
      <c r="B120" s="40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40"/>
      <c r="B121" s="40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40"/>
      <c r="B122" s="40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40"/>
      <c r="B123" s="40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40"/>
      <c r="B124" s="40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40"/>
      <c r="B125" s="40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40"/>
      <c r="B126" s="40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40"/>
      <c r="B127" s="40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40"/>
      <c r="B128" s="40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40"/>
      <c r="B129" s="40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40"/>
      <c r="B130" s="40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40"/>
      <c r="B131" s="40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40"/>
      <c r="B132" s="40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40"/>
      <c r="B133" s="40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40"/>
      <c r="B134" s="40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40"/>
      <c r="B135" s="40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40"/>
      <c r="B136" s="40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40"/>
      <c r="B137" s="40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40"/>
      <c r="B138" s="40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40"/>
      <c r="B139" s="40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40"/>
      <c r="B140" s="40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40"/>
      <c r="B141" s="40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40"/>
      <c r="B142" s="40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40"/>
      <c r="B143" s="40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40"/>
      <c r="B144" s="40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40"/>
      <c r="B145" s="40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40"/>
      <c r="B146" s="40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40"/>
      <c r="B147" s="40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40"/>
      <c r="B148" s="40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40"/>
      <c r="B149" s="40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40"/>
      <c r="B150" s="40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40"/>
      <c r="B151" s="40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40"/>
      <c r="B152" s="40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40"/>
      <c r="B153" s="40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40"/>
      <c r="B154" s="40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40"/>
      <c r="B155" s="40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40"/>
      <c r="B156" s="40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40"/>
      <c r="B157" s="40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40"/>
      <c r="B158" s="40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40"/>
      <c r="B159" s="40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40"/>
      <c r="B160" s="40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40"/>
      <c r="B161" s="40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40"/>
      <c r="B162" s="40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40"/>
      <c r="B163" s="40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40"/>
      <c r="B164" s="40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40"/>
      <c r="B165" s="40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40"/>
      <c r="B166" s="40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40"/>
      <c r="B167" s="40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40"/>
      <c r="B168" s="40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40"/>
      <c r="B169" s="40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40"/>
      <c r="B170" s="40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40"/>
      <c r="B171" s="40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40"/>
      <c r="B172" s="40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40"/>
      <c r="B173" s="40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40"/>
      <c r="B174" s="40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40"/>
      <c r="B175" s="40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40"/>
      <c r="B176" s="40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40"/>
      <c r="B177" s="40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40"/>
      <c r="B178" s="40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40"/>
      <c r="B179" s="40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40"/>
      <c r="B180" s="40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40"/>
      <c r="B181" s="40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40"/>
      <c r="B182" s="40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40"/>
      <c r="B183" s="40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40"/>
      <c r="B184" s="40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40"/>
      <c r="B185" s="40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40"/>
      <c r="B186" s="40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40"/>
      <c r="B187" s="40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40"/>
      <c r="B188" s="40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40"/>
      <c r="B189" s="40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40"/>
      <c r="B190" s="40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40"/>
      <c r="B191" s="40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40"/>
      <c r="B192" s="40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40"/>
      <c r="B193" s="40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40"/>
      <c r="B194" s="40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40"/>
      <c r="B195" s="40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40"/>
      <c r="B196" s="40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40"/>
      <c r="B197" s="40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40"/>
      <c r="B198" s="40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40"/>
      <c r="B199" s="40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40"/>
      <c r="B200" s="40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40"/>
      <c r="B201" s="40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40"/>
      <c r="B202" s="40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40"/>
      <c r="B203" s="40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40"/>
      <c r="B204" s="40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40"/>
      <c r="B205" s="40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40"/>
      <c r="B206" s="40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40"/>
      <c r="B207" s="40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40"/>
      <c r="B208" s="40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40"/>
      <c r="B209" s="40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40"/>
      <c r="B210" s="40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40"/>
      <c r="B211" s="40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40"/>
      <c r="B212" s="40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40"/>
      <c r="B213" s="40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40"/>
      <c r="B214" s="40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40"/>
      <c r="B215" s="40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40"/>
      <c r="B216" s="40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40"/>
      <c r="B217" s="40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40"/>
      <c r="B218" s="40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40"/>
      <c r="B219" s="40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40"/>
      <c r="B220" s="40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40"/>
      <c r="B221" s="40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40"/>
      <c r="B222" s="40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40"/>
      <c r="B223" s="40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40"/>
      <c r="B224" s="40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40"/>
      <c r="B225" s="40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40"/>
      <c r="B226" s="40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40"/>
      <c r="B227" s="40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40"/>
      <c r="B228" s="40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40"/>
      <c r="B229" s="40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40"/>
      <c r="B230" s="40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40"/>
      <c r="B231" s="40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40"/>
      <c r="B232" s="40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40"/>
      <c r="B233" s="40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40"/>
      <c r="B234" s="40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40"/>
      <c r="B235" s="40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40"/>
      <c r="B236" s="40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40"/>
      <c r="B237" s="40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40"/>
      <c r="B238" s="40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40"/>
      <c r="B239" s="40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40"/>
      <c r="B240" s="40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40"/>
      <c r="B241" s="40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40"/>
      <c r="B242" s="40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40"/>
      <c r="B243" s="40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40"/>
      <c r="B244" s="40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40"/>
      <c r="B245" s="40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40"/>
      <c r="B246" s="40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40"/>
      <c r="B247" s="40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40"/>
      <c r="B248" s="40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40"/>
      <c r="B249" s="40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40"/>
      <c r="B250" s="40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40"/>
      <c r="B251" s="40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40"/>
      <c r="B252" s="40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40"/>
      <c r="B253" s="40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40"/>
      <c r="B254" s="40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40"/>
      <c r="B255" s="40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40"/>
      <c r="B256" s="40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40"/>
      <c r="B257" s="40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40"/>
      <c r="B258" s="40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40"/>
      <c r="B259" s="40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40"/>
      <c r="B260" s="40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40"/>
      <c r="B261" s="40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40"/>
      <c r="B262" s="40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40"/>
      <c r="B263" s="40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40"/>
      <c r="B264" s="40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40"/>
      <c r="B265" s="40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40"/>
      <c r="B266" s="40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40"/>
      <c r="B267" s="40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40"/>
      <c r="B268" s="40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40"/>
      <c r="B269" s="40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40"/>
      <c r="B270" s="40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40"/>
      <c r="B271" s="40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40"/>
      <c r="B272" s="40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40"/>
      <c r="B273" s="40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40"/>
      <c r="B274" s="40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40"/>
      <c r="B275" s="40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40"/>
      <c r="B276" s="40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40"/>
      <c r="B277" s="40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40"/>
      <c r="B278" s="40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40"/>
      <c r="B279" s="40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40"/>
      <c r="B280" s="40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40"/>
      <c r="B281" s="40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40"/>
      <c r="B282" s="40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40"/>
      <c r="B283" s="40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40"/>
      <c r="B284" s="40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40"/>
      <c r="B285" s="40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40"/>
      <c r="B286" s="40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40"/>
      <c r="B287" s="40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40"/>
      <c r="B288" s="40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40"/>
      <c r="B289" s="40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40"/>
      <c r="B290" s="40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40"/>
      <c r="B291" s="40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40"/>
      <c r="B292" s="40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40"/>
      <c r="B293" s="40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40"/>
      <c r="B294" s="40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40"/>
      <c r="B295" s="40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40"/>
      <c r="B296" s="40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40"/>
      <c r="B297" s="40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40"/>
      <c r="B298" s="40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40"/>
      <c r="B299" s="40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40"/>
      <c r="B300" s="40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40"/>
      <c r="B301" s="40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40"/>
      <c r="B302" s="40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40"/>
      <c r="B303" s="40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40"/>
      <c r="B304" s="40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40"/>
      <c r="B305" s="40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40"/>
      <c r="B306" s="40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40"/>
      <c r="B307" s="40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40"/>
      <c r="B308" s="40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40"/>
      <c r="B309" s="40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40"/>
      <c r="B310" s="40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40"/>
      <c r="B311" s="40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40"/>
      <c r="B312" s="40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40"/>
      <c r="B313" s="40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40"/>
      <c r="B314" s="40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40"/>
      <c r="B315" s="40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40"/>
      <c r="B316" s="40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40"/>
      <c r="B317" s="40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40"/>
      <c r="B318" s="40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40"/>
      <c r="B319" s="40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40"/>
      <c r="B320" s="40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40"/>
      <c r="B321" s="40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40"/>
      <c r="B322" s="40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40"/>
      <c r="B323" s="40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40"/>
      <c r="B324" s="40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40"/>
      <c r="B325" s="40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40"/>
      <c r="B326" s="40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40"/>
      <c r="B327" s="40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40"/>
      <c r="B328" s="40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40"/>
      <c r="B329" s="40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40"/>
      <c r="B330" s="40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40"/>
      <c r="B331" s="40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40"/>
      <c r="B332" s="40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40"/>
      <c r="B333" s="40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40"/>
      <c r="B334" s="40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40"/>
      <c r="B335" s="40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40"/>
      <c r="B336" s="40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40"/>
      <c r="B337" s="40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40"/>
      <c r="B338" s="40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40"/>
      <c r="B339" s="40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40"/>
      <c r="B340" s="40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40"/>
      <c r="B341" s="40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40"/>
      <c r="B342" s="40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40"/>
      <c r="B343" s="40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40"/>
      <c r="B344" s="40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40"/>
      <c r="B345" s="40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40"/>
      <c r="B346" s="40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40"/>
      <c r="B347" s="40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40"/>
      <c r="B348" s="40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40"/>
      <c r="B349" s="40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40"/>
      <c r="B350" s="40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40"/>
      <c r="B351" s="40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40"/>
      <c r="B352" s="40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40"/>
      <c r="B353" s="40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40"/>
      <c r="B354" s="40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40"/>
      <c r="B355" s="40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40"/>
      <c r="B356" s="40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40"/>
      <c r="B357" s="40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40"/>
      <c r="B358" s="40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40"/>
      <c r="B359" s="40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40"/>
      <c r="B360" s="40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40"/>
      <c r="B361" s="40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40"/>
      <c r="B362" s="40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40"/>
      <c r="B363" s="40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40"/>
      <c r="B364" s="40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40"/>
      <c r="B365" s="40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40"/>
      <c r="B366" s="40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40"/>
      <c r="B367" s="40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40"/>
      <c r="B368" s="40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40"/>
      <c r="B369" s="40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40"/>
      <c r="B370" s="40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40"/>
      <c r="B371" s="40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40"/>
      <c r="B372" s="40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40"/>
      <c r="B373" s="40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40"/>
      <c r="B374" s="40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40"/>
      <c r="B375" s="40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40"/>
      <c r="B376" s="40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40"/>
      <c r="B377" s="40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40"/>
      <c r="B378" s="40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40"/>
      <c r="B379" s="40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40"/>
      <c r="B380" s="40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40"/>
      <c r="B381" s="40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40"/>
      <c r="B382" s="40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40"/>
      <c r="B383" s="40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40"/>
      <c r="B384" s="40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40"/>
      <c r="B385" s="40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40"/>
      <c r="B386" s="40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40"/>
      <c r="B387" s="40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40"/>
      <c r="B388" s="40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40"/>
      <c r="B389" s="40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40"/>
      <c r="B390" s="40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40"/>
      <c r="B391" s="40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40"/>
      <c r="B392" s="40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40"/>
      <c r="B393" s="40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40"/>
      <c r="B394" s="40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40"/>
      <c r="B395" s="40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40"/>
      <c r="B396" s="40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40"/>
      <c r="B397" s="40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40"/>
      <c r="B398" s="40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40"/>
      <c r="B399" s="40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40"/>
      <c r="B400" s="40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40"/>
      <c r="B401" s="40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40"/>
      <c r="B402" s="40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40"/>
      <c r="B403" s="40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40"/>
      <c r="B404" s="40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40"/>
      <c r="B405" s="40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40"/>
      <c r="B406" s="40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40"/>
      <c r="B407" s="40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40"/>
      <c r="B408" s="40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40"/>
      <c r="B409" s="40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40"/>
      <c r="B410" s="40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40"/>
      <c r="B411" s="40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40"/>
      <c r="B412" s="40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40"/>
      <c r="B413" s="40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40"/>
      <c r="B414" s="40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40"/>
      <c r="B415" s="40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40"/>
      <c r="B416" s="40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40"/>
      <c r="B417" s="40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40"/>
      <c r="B418" s="40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40"/>
      <c r="B419" s="40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40"/>
      <c r="B420" s="40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40"/>
      <c r="B421" s="40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40"/>
      <c r="B422" s="40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40"/>
      <c r="B423" s="40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40"/>
      <c r="B424" s="40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40"/>
      <c r="B425" s="40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40"/>
      <c r="B426" s="40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40"/>
      <c r="B427" s="40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40"/>
      <c r="B428" s="40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40"/>
      <c r="B429" s="40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40"/>
      <c r="B430" s="40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40"/>
      <c r="B431" s="40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40"/>
      <c r="B432" s="40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40"/>
      <c r="B433" s="40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40"/>
      <c r="B434" s="40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40"/>
      <c r="B435" s="40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40"/>
      <c r="B436" s="40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40"/>
      <c r="B437" s="40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40"/>
      <c r="B438" s="40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40"/>
      <c r="B439" s="40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40"/>
      <c r="B440" s="40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40"/>
      <c r="B441" s="40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40"/>
      <c r="B442" s="40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40"/>
      <c r="B443" s="40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40"/>
      <c r="B444" s="40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40"/>
      <c r="B445" s="40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40"/>
      <c r="B446" s="40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40"/>
      <c r="B447" s="40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40"/>
      <c r="B448" s="40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40"/>
      <c r="B449" s="40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40"/>
      <c r="B450" s="40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40"/>
      <c r="B451" s="40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40"/>
      <c r="B452" s="40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40"/>
      <c r="B453" s="40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40"/>
      <c r="B454" s="40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40"/>
      <c r="B455" s="40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40"/>
      <c r="B456" s="40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40"/>
      <c r="B457" s="40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40"/>
      <c r="B458" s="40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40"/>
      <c r="B459" s="40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40"/>
      <c r="B460" s="40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40"/>
      <c r="B461" s="40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40"/>
      <c r="B462" s="40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40"/>
      <c r="B463" s="40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40"/>
      <c r="B464" s="40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40"/>
      <c r="B465" s="40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40"/>
      <c r="B466" s="40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40"/>
      <c r="B467" s="40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40"/>
      <c r="B468" s="40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40"/>
      <c r="B469" s="40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40"/>
      <c r="B470" s="40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40"/>
      <c r="B471" s="40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40"/>
      <c r="B472" s="40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40"/>
      <c r="B473" s="40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40"/>
      <c r="B474" s="40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40"/>
      <c r="B475" s="40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40"/>
      <c r="B476" s="40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40"/>
      <c r="B477" s="40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40"/>
      <c r="B478" s="40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40"/>
      <c r="B479" s="40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40"/>
      <c r="B480" s="40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40"/>
      <c r="B481" s="40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40"/>
      <c r="B482" s="40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40"/>
      <c r="B483" s="40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40"/>
      <c r="B484" s="40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40"/>
      <c r="B485" s="40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40"/>
      <c r="B486" s="40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40"/>
      <c r="B487" s="40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40"/>
      <c r="B488" s="40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40"/>
      <c r="B489" s="40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40"/>
      <c r="B490" s="40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40"/>
      <c r="B491" s="40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40"/>
      <c r="B492" s="40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40"/>
      <c r="B493" s="40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40"/>
      <c r="B494" s="40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40"/>
      <c r="B495" s="40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40"/>
      <c r="B496" s="40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40"/>
      <c r="B497" s="40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40"/>
      <c r="B498" s="40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40"/>
      <c r="B499" s="40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40"/>
      <c r="B500" s="40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40"/>
      <c r="B501" s="40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40"/>
      <c r="B502" s="40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40"/>
      <c r="B503" s="40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40"/>
      <c r="B504" s="40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40"/>
      <c r="B505" s="40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40"/>
      <c r="B506" s="40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40"/>
      <c r="B507" s="40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40"/>
      <c r="B508" s="40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40"/>
      <c r="B509" s="40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40"/>
      <c r="B510" s="40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40"/>
      <c r="B511" s="40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40"/>
      <c r="B512" s="40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40"/>
      <c r="B513" s="40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40"/>
      <c r="B514" s="40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40"/>
      <c r="B515" s="40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40"/>
      <c r="B516" s="40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40"/>
      <c r="B517" s="40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40"/>
      <c r="B518" s="40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40"/>
      <c r="B519" s="40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40"/>
      <c r="B520" s="40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40"/>
      <c r="B521" s="40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40"/>
      <c r="B522" s="40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40"/>
      <c r="B523" s="40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40"/>
      <c r="B524" s="40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40"/>
      <c r="B525" s="40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40"/>
      <c r="B526" s="40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40"/>
      <c r="B527" s="40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40"/>
      <c r="B528" s="40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40"/>
      <c r="B529" s="40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40"/>
      <c r="B530" s="40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40"/>
      <c r="B531" s="40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40"/>
      <c r="B532" s="40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40"/>
      <c r="B533" s="40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40"/>
      <c r="B534" s="40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40"/>
      <c r="B535" s="40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40"/>
      <c r="B536" s="40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40"/>
      <c r="B537" s="40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40"/>
      <c r="B538" s="40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40"/>
      <c r="B539" s="40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40"/>
      <c r="B540" s="40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40"/>
      <c r="B541" s="40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40"/>
      <c r="B542" s="40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40"/>
      <c r="B543" s="40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40"/>
      <c r="B544" s="40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40"/>
      <c r="B545" s="40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40"/>
      <c r="B546" s="40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40"/>
      <c r="B547" s="40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40"/>
      <c r="B548" s="40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40"/>
      <c r="B549" s="40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40"/>
      <c r="B550" s="40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40"/>
      <c r="B551" s="40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40"/>
      <c r="B552" s="40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40"/>
      <c r="B553" s="40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40"/>
      <c r="B554" s="40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40"/>
      <c r="B555" s="40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40"/>
      <c r="B556" s="40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40"/>
      <c r="B557" s="40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40"/>
      <c r="B558" s="40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40"/>
      <c r="B559" s="40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40"/>
      <c r="B560" s="40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40"/>
      <c r="B561" s="40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40"/>
      <c r="B562" s="40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40"/>
      <c r="B563" s="40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40"/>
      <c r="B564" s="40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40"/>
      <c r="B565" s="40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40"/>
      <c r="B566" s="40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40"/>
      <c r="B567" s="40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40"/>
      <c r="B568" s="40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40"/>
      <c r="B569" s="40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40"/>
      <c r="B570" s="40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40"/>
      <c r="B571" s="40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40"/>
      <c r="B572" s="40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40"/>
      <c r="B573" s="40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40"/>
      <c r="B574" s="40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40"/>
      <c r="B575" s="40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40"/>
      <c r="B576" s="40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40"/>
      <c r="B577" s="40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40"/>
      <c r="B578" s="40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40"/>
      <c r="B579" s="40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40"/>
      <c r="B580" s="40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40"/>
      <c r="B581" s="40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40"/>
      <c r="B582" s="40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40"/>
      <c r="B583" s="40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40"/>
      <c r="B584" s="40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40"/>
      <c r="B585" s="40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40"/>
      <c r="B586" s="40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40"/>
      <c r="B587" s="40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40"/>
      <c r="B588" s="40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40"/>
      <c r="B589" s="40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40"/>
      <c r="B590" s="40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40"/>
      <c r="B591" s="40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40"/>
      <c r="B592" s="40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40"/>
      <c r="B593" s="40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40"/>
      <c r="B594" s="40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40"/>
      <c r="B595" s="40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40"/>
      <c r="B596" s="40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40"/>
      <c r="B597" s="40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40"/>
      <c r="B598" s="40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40"/>
      <c r="B599" s="40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40"/>
      <c r="B600" s="40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40"/>
      <c r="B601" s="40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40"/>
      <c r="B602" s="40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40"/>
      <c r="B603" s="40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40"/>
      <c r="B604" s="40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40"/>
      <c r="B605" s="40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40"/>
      <c r="B606" s="40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40"/>
      <c r="B607" s="40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40"/>
      <c r="B608" s="40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40"/>
      <c r="B609" s="40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40"/>
      <c r="B610" s="40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40"/>
      <c r="B611" s="40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40"/>
      <c r="B612" s="40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40"/>
      <c r="B613" s="40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40"/>
      <c r="B614" s="40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40"/>
      <c r="B615" s="40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40"/>
      <c r="B616" s="40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40"/>
      <c r="B617" s="40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40"/>
      <c r="B618" s="40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40"/>
      <c r="B619" s="40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40"/>
      <c r="B620" s="40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40"/>
      <c r="B621" s="40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40"/>
      <c r="B622" s="40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40"/>
      <c r="B623" s="40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40"/>
      <c r="B624" s="40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40"/>
      <c r="B625" s="40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40"/>
      <c r="B626" s="40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40"/>
      <c r="B627" s="40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40"/>
      <c r="B628" s="40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40"/>
      <c r="B629" s="40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40"/>
      <c r="B630" s="40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40"/>
      <c r="B631" s="40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40"/>
      <c r="B632" s="40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40"/>
      <c r="B633" s="40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40"/>
      <c r="B634" s="40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40"/>
      <c r="B635" s="40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40"/>
      <c r="B636" s="40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40"/>
      <c r="B637" s="40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40"/>
      <c r="B638" s="40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40"/>
      <c r="B639" s="40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40"/>
      <c r="B640" s="40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40"/>
      <c r="B641" s="40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40"/>
      <c r="B642" s="40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40"/>
      <c r="B643" s="40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40"/>
      <c r="B644" s="40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40"/>
      <c r="B645" s="40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40"/>
      <c r="B646" s="40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40"/>
      <c r="B647" s="40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40"/>
      <c r="B648" s="40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40"/>
      <c r="B649" s="40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40"/>
      <c r="B650" s="40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40"/>
      <c r="B651" s="40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40"/>
      <c r="B652" s="40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40"/>
      <c r="B653" s="40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40"/>
      <c r="B654" s="40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40"/>
      <c r="B655" s="40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40"/>
      <c r="B656" s="40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40"/>
      <c r="B657" s="40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40"/>
      <c r="B658" s="40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40"/>
      <c r="B659" s="40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40"/>
      <c r="B660" s="40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40"/>
      <c r="B661" s="40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40"/>
      <c r="B662" s="40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40"/>
      <c r="B663" s="40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40"/>
      <c r="B664" s="40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40"/>
      <c r="B665" s="40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40"/>
      <c r="B666" s="40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40"/>
      <c r="B667" s="40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40"/>
      <c r="B668" s="40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40"/>
      <c r="B669" s="40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40"/>
      <c r="B670" s="40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40"/>
      <c r="B671" s="40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40"/>
      <c r="B672" s="40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40"/>
      <c r="B673" s="40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40"/>
      <c r="B674" s="40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40"/>
      <c r="B675" s="40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40"/>
      <c r="B676" s="40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40"/>
      <c r="B677" s="40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40"/>
      <c r="B678" s="40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40"/>
      <c r="B679" s="40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40"/>
      <c r="B680" s="40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40"/>
      <c r="B681" s="40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40"/>
      <c r="B682" s="40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40"/>
      <c r="B683" s="40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40"/>
      <c r="B684" s="40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40"/>
      <c r="B685" s="40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40"/>
      <c r="B686" s="40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40"/>
      <c r="B687" s="40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40"/>
      <c r="B688" s="40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40"/>
      <c r="B689" s="40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40"/>
      <c r="B690" s="40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40"/>
      <c r="B691" s="40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40"/>
      <c r="B692" s="40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40"/>
      <c r="B693" s="40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40"/>
      <c r="B694" s="40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40"/>
      <c r="B695" s="40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40"/>
      <c r="B696" s="40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40"/>
      <c r="B697" s="40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40"/>
      <c r="B698" s="40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40"/>
      <c r="B699" s="40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40"/>
      <c r="B700" s="40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40"/>
      <c r="B701" s="40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40"/>
      <c r="B702" s="40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40"/>
      <c r="B703" s="40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40"/>
      <c r="B704" s="40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40"/>
      <c r="B705" s="40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40"/>
      <c r="B706" s="40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40"/>
      <c r="B707" s="40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40"/>
      <c r="B708" s="40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40"/>
      <c r="B709" s="40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40"/>
      <c r="B710" s="40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40"/>
      <c r="B711" s="40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40"/>
      <c r="B712" s="40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40"/>
      <c r="B713" s="40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40"/>
      <c r="B714" s="40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40"/>
      <c r="B715" s="40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40"/>
      <c r="B716" s="40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40"/>
      <c r="B717" s="40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40"/>
      <c r="B718" s="40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40"/>
      <c r="B719" s="40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40"/>
      <c r="B720" s="40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40"/>
      <c r="B721" s="40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40"/>
      <c r="B722" s="40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40"/>
      <c r="B723" s="40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40"/>
      <c r="B724" s="40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40"/>
      <c r="B725" s="40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40"/>
      <c r="B726" s="40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40"/>
      <c r="B727" s="40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40"/>
      <c r="B728" s="40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40"/>
      <c r="B729" s="40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40"/>
      <c r="B730" s="40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40"/>
      <c r="B731" s="40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40"/>
      <c r="B732" s="40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40"/>
      <c r="B733" s="40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40"/>
      <c r="B734" s="40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40"/>
      <c r="B735" s="40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40"/>
      <c r="B736" s="40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40"/>
      <c r="B737" s="40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40"/>
      <c r="B738" s="40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40"/>
      <c r="B739" s="40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40"/>
      <c r="B740" s="40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40"/>
      <c r="B741" s="40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40"/>
      <c r="B742" s="40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40"/>
      <c r="B743" s="40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40"/>
      <c r="B744" s="40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40"/>
      <c r="B745" s="40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40"/>
      <c r="B746" s="40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40"/>
      <c r="B747" s="40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40"/>
      <c r="B748" s="40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40"/>
      <c r="B749" s="40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40"/>
      <c r="B750" s="40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40"/>
      <c r="B751" s="40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40"/>
      <c r="B752" s="40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40"/>
      <c r="B753" s="40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40"/>
      <c r="B754" s="40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40"/>
      <c r="B755" s="40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40"/>
      <c r="B756" s="40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40"/>
      <c r="B757" s="40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40"/>
      <c r="B758" s="40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40"/>
      <c r="B759" s="40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40"/>
      <c r="B760" s="40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40"/>
      <c r="B761" s="40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40"/>
      <c r="B762" s="40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40"/>
      <c r="B763" s="40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40"/>
      <c r="B764" s="40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40"/>
      <c r="B765" s="40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40"/>
      <c r="B766" s="40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40"/>
      <c r="B767" s="40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40"/>
      <c r="B768" s="40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40"/>
      <c r="B769" s="40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40"/>
      <c r="B770" s="40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40"/>
      <c r="B771" s="40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40"/>
      <c r="B772" s="40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40"/>
      <c r="B773" s="40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40"/>
      <c r="B774" s="40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40"/>
      <c r="B775" s="40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40"/>
      <c r="B776" s="40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40"/>
      <c r="B777" s="40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40"/>
      <c r="B778" s="40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40"/>
      <c r="B779" s="40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40"/>
      <c r="B780" s="40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40"/>
      <c r="B781" s="40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40"/>
      <c r="B782" s="40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40"/>
      <c r="B783" s="40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40"/>
      <c r="B784" s="40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40"/>
      <c r="B785" s="40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40"/>
      <c r="B786" s="40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40"/>
      <c r="B787" s="40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40"/>
      <c r="B788" s="40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40"/>
      <c r="B789" s="40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40"/>
      <c r="B790" s="40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40"/>
      <c r="B791" s="40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40"/>
      <c r="B792" s="40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40"/>
      <c r="B793" s="40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40"/>
      <c r="B794" s="40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40"/>
      <c r="B795" s="40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40"/>
      <c r="B796" s="40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40"/>
      <c r="B797" s="40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40"/>
      <c r="B798" s="40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40"/>
      <c r="B799" s="40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40"/>
      <c r="B800" s="40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40"/>
      <c r="B801" s="40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40"/>
      <c r="B802" s="40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40"/>
      <c r="B803" s="40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40"/>
      <c r="B804" s="40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40"/>
      <c r="B805" s="40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40"/>
      <c r="B806" s="40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40"/>
      <c r="B807" s="40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40"/>
      <c r="B808" s="40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40"/>
      <c r="B809" s="40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40"/>
      <c r="B810" s="40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40"/>
      <c r="B811" s="40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40"/>
      <c r="B812" s="40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40"/>
      <c r="B813" s="40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40"/>
      <c r="B814" s="40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40"/>
      <c r="B815" s="40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40"/>
      <c r="B816" s="40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40"/>
      <c r="B817" s="40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40"/>
      <c r="B818" s="40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40"/>
      <c r="B819" s="40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40"/>
      <c r="B820" s="40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40"/>
      <c r="B821" s="40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40"/>
      <c r="B822" s="40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40"/>
      <c r="B823" s="40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40"/>
      <c r="B824" s="40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40"/>
      <c r="B825" s="40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40"/>
      <c r="B826" s="40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40"/>
      <c r="B827" s="40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40"/>
      <c r="B828" s="40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40"/>
      <c r="B829" s="40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40"/>
      <c r="B830" s="40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40"/>
      <c r="B831" s="40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40"/>
      <c r="B832" s="40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40"/>
      <c r="B833" s="40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40"/>
      <c r="B834" s="40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40"/>
      <c r="B835" s="40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40"/>
      <c r="B836" s="40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40"/>
      <c r="B837" s="40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40"/>
      <c r="B838" s="40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40"/>
      <c r="B839" s="40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40"/>
      <c r="B840" s="40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40"/>
      <c r="B841" s="40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40"/>
      <c r="B842" s="40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40"/>
      <c r="B843" s="40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40"/>
      <c r="B844" s="40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40"/>
      <c r="B845" s="40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40"/>
      <c r="B846" s="40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40"/>
      <c r="B847" s="40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40"/>
      <c r="B848" s="40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40"/>
      <c r="B849" s="40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40"/>
      <c r="B850" s="40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40"/>
      <c r="B851" s="40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40"/>
      <c r="B852" s="40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40"/>
      <c r="B853" s="40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40"/>
      <c r="B854" s="40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40"/>
      <c r="B855" s="40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40"/>
      <c r="B856" s="40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40"/>
      <c r="B857" s="40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40"/>
      <c r="B858" s="40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40"/>
      <c r="B859" s="40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40"/>
      <c r="B860" s="40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40"/>
      <c r="B861" s="40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40"/>
      <c r="B862" s="40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40"/>
      <c r="B863" s="40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40"/>
      <c r="B864" s="40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40"/>
      <c r="B865" s="40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40"/>
      <c r="B866" s="40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40"/>
      <c r="B867" s="40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40"/>
      <c r="B868" s="40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40"/>
      <c r="B869" s="40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40"/>
      <c r="B870" s="40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40"/>
      <c r="B871" s="40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40"/>
      <c r="B872" s="40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40"/>
      <c r="B873" s="40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40"/>
      <c r="B874" s="40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40"/>
      <c r="B875" s="40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40"/>
      <c r="B876" s="40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40"/>
      <c r="B877" s="40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40"/>
      <c r="B878" s="40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40"/>
      <c r="B879" s="40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40"/>
      <c r="B880" s="40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40"/>
      <c r="B881" s="40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40"/>
      <c r="B882" s="40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40"/>
      <c r="B883" s="40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40"/>
      <c r="B884" s="40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40"/>
      <c r="B885" s="40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40"/>
      <c r="B886" s="40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40"/>
      <c r="B887" s="40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40"/>
      <c r="B888" s="40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40"/>
      <c r="B889" s="40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40"/>
      <c r="B890" s="40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40"/>
      <c r="B891" s="40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40"/>
      <c r="B892" s="40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40"/>
      <c r="B893" s="40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40"/>
      <c r="B894" s="40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40"/>
      <c r="B895" s="40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40"/>
      <c r="B896" s="40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40"/>
      <c r="B897" s="40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40"/>
      <c r="B898" s="40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40"/>
      <c r="B899" s="40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40"/>
      <c r="B900" s="40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40"/>
      <c r="B901" s="40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40"/>
      <c r="B902" s="40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40"/>
      <c r="B903" s="40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40"/>
      <c r="B904" s="40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40"/>
      <c r="B905" s="40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40"/>
      <c r="B906" s="40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40"/>
      <c r="B907" s="40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40"/>
      <c r="B908" s="40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40"/>
      <c r="B909" s="40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40"/>
      <c r="B910" s="40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40"/>
      <c r="B911" s="40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40"/>
      <c r="B912" s="40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40"/>
      <c r="B913" s="40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40"/>
      <c r="B914" s="40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40"/>
      <c r="B915" s="40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40"/>
      <c r="B916" s="40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40"/>
      <c r="B917" s="40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40"/>
      <c r="B918" s="40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40"/>
      <c r="B919" s="40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40"/>
      <c r="B920" s="40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40"/>
      <c r="B921" s="40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40"/>
      <c r="B922" s="40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40"/>
      <c r="B923" s="40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40"/>
      <c r="B924" s="40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40"/>
      <c r="B925" s="40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40"/>
      <c r="B926" s="40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40"/>
      <c r="B927" s="40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40"/>
      <c r="B928" s="40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40"/>
      <c r="B929" s="40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40"/>
      <c r="B930" s="40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40"/>
      <c r="B931" s="40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40"/>
      <c r="B932" s="40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40"/>
      <c r="B933" s="40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40"/>
      <c r="B934" s="40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40"/>
      <c r="B935" s="40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40"/>
      <c r="B936" s="40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40"/>
      <c r="B937" s="40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40"/>
      <c r="B938" s="40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40"/>
      <c r="B939" s="40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40"/>
      <c r="B940" s="40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40"/>
      <c r="B941" s="40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40"/>
      <c r="B942" s="40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40"/>
      <c r="B943" s="40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40"/>
      <c r="B944" s="40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40"/>
      <c r="B945" s="40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40"/>
      <c r="B946" s="40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40"/>
      <c r="B947" s="40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40"/>
      <c r="B948" s="40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40"/>
      <c r="B949" s="40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40"/>
      <c r="B950" s="40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40"/>
      <c r="B951" s="40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40"/>
      <c r="B952" s="40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40"/>
      <c r="B953" s="40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40"/>
      <c r="B954" s="40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40"/>
      <c r="B955" s="40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40"/>
      <c r="B956" s="40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40"/>
      <c r="B957" s="40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40"/>
      <c r="B958" s="40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40"/>
      <c r="B959" s="40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40"/>
      <c r="B960" s="40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40"/>
      <c r="B961" s="40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40"/>
      <c r="B962" s="40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40"/>
      <c r="B963" s="40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40"/>
      <c r="B964" s="40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40"/>
      <c r="B965" s="40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40"/>
      <c r="B966" s="40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40"/>
      <c r="B967" s="40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40"/>
      <c r="B968" s="40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40"/>
      <c r="B969" s="40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40"/>
      <c r="B970" s="40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40"/>
      <c r="B971" s="40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40"/>
      <c r="B972" s="40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40"/>
      <c r="B973" s="40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40"/>
      <c r="B974" s="40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40"/>
      <c r="B975" s="40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40"/>
      <c r="B976" s="40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40"/>
      <c r="B977" s="40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40"/>
      <c r="B978" s="40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40"/>
      <c r="B979" s="40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40"/>
      <c r="B980" s="40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40"/>
      <c r="B981" s="40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40"/>
      <c r="B982" s="40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40"/>
      <c r="B983" s="40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40"/>
      <c r="B984" s="40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40"/>
      <c r="B985" s="40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40"/>
      <c r="B986" s="40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40"/>
      <c r="B987" s="40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40"/>
      <c r="B988" s="40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40"/>
      <c r="B989" s="40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40"/>
      <c r="B990" s="40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40"/>
      <c r="B991" s="40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40"/>
      <c r="B992" s="40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40"/>
      <c r="B993" s="40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40"/>
      <c r="B994" s="40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40"/>
      <c r="B995" s="40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40"/>
      <c r="B996" s="40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40"/>
      <c r="B997" s="40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40"/>
      <c r="B998" s="40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40"/>
      <c r="B999" s="40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40"/>
      <c r="B1000" s="40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6">
    <mergeCell ref="A4:B4"/>
    <mergeCell ref="C4:F4"/>
    <mergeCell ref="A5:B5"/>
    <mergeCell ref="C5:F5"/>
    <mergeCell ref="A6:B6"/>
    <mergeCell ref="C6:F6"/>
  </mergeCells>
  <hyperlinks>
    <hyperlink display="View Homepage and System Dashboard Overview(user)" location="null!A1" ref="D9"/>
    <hyperlink display="Enable / Disable Notifications(user)" location="null!A1" ref="D10"/>
    <hyperlink display="Attendance" location="null!A1" ref="D11"/>
    <hyperlink display="Device" location="null!A1" ref="D12"/>
    <hyperlink display="Configuration" location="null!A1" ref="D13"/>
    <hyperlink display="Report" location="null!A1" ref="D14"/>
    <hyperlink display="Notification" location="null!A1" ref="D15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7"/>
      <c r="B1" s="67"/>
      <c r="C1" s="67"/>
      <c r="D1" s="67"/>
      <c r="E1" s="67"/>
      <c r="F1" s="67"/>
      <c r="G1" s="67"/>
      <c r="H1" s="67"/>
      <c r="I1" s="67"/>
    </row>
    <row r="2">
      <c r="A2" s="68" t="s">
        <v>80</v>
      </c>
    </row>
    <row r="3">
      <c r="A3" s="69"/>
      <c r="B3" s="67"/>
      <c r="C3" s="67"/>
      <c r="D3" s="67"/>
      <c r="E3" s="67"/>
      <c r="F3" s="67"/>
      <c r="G3" s="67"/>
      <c r="H3" s="67"/>
      <c r="I3" s="67"/>
    </row>
    <row r="4">
      <c r="A4" s="70" t="s">
        <v>45</v>
      </c>
      <c r="B4" s="71" t="s">
        <v>46</v>
      </c>
      <c r="C4" s="15"/>
      <c r="D4" s="72" t="s">
        <v>47</v>
      </c>
      <c r="E4" s="15"/>
      <c r="F4" s="73"/>
      <c r="G4" s="14"/>
      <c r="H4" s="14"/>
      <c r="I4" s="15"/>
    </row>
    <row r="5">
      <c r="A5" s="70" t="s">
        <v>48</v>
      </c>
      <c r="B5" s="71" t="s">
        <v>49</v>
      </c>
      <c r="C5" s="15"/>
      <c r="D5" s="72" t="s">
        <v>81</v>
      </c>
      <c r="E5" s="15"/>
      <c r="F5" s="73"/>
      <c r="G5" s="14"/>
      <c r="H5" s="14"/>
      <c r="I5" s="15"/>
    </row>
    <row r="6">
      <c r="A6" s="74" t="s">
        <v>52</v>
      </c>
      <c r="B6" s="71" t="s">
        <v>82</v>
      </c>
      <c r="C6" s="15"/>
      <c r="D6" s="72" t="s">
        <v>50</v>
      </c>
      <c r="E6" s="15"/>
      <c r="F6" s="75" t="s">
        <v>51</v>
      </c>
      <c r="G6" s="14"/>
      <c r="H6" s="14"/>
      <c r="I6" s="15"/>
    </row>
    <row r="7">
      <c r="A7" s="74" t="s">
        <v>83</v>
      </c>
      <c r="B7" s="76" t="s">
        <v>84</v>
      </c>
      <c r="C7" s="14"/>
      <c r="D7" s="14"/>
      <c r="E7" s="14"/>
      <c r="F7" s="14"/>
      <c r="G7" s="14"/>
      <c r="H7" s="14"/>
      <c r="I7" s="15"/>
    </row>
    <row r="8">
      <c r="A8" s="77"/>
      <c r="B8" s="78"/>
      <c r="C8" s="67"/>
      <c r="D8" s="67"/>
      <c r="E8" s="67"/>
      <c r="F8" s="67"/>
      <c r="G8" s="67"/>
      <c r="H8" s="67"/>
      <c r="I8" s="67"/>
    </row>
    <row r="9">
      <c r="A9" s="77"/>
      <c r="B9" s="78"/>
      <c r="C9" s="67"/>
      <c r="D9" s="67"/>
      <c r="E9" s="67"/>
      <c r="F9" s="67"/>
      <c r="G9" s="67"/>
      <c r="H9" s="67"/>
      <c r="I9" s="67"/>
    </row>
    <row r="10">
      <c r="A10" s="67"/>
      <c r="B10" s="67"/>
      <c r="C10" s="67"/>
      <c r="D10" s="67"/>
      <c r="E10" s="67"/>
      <c r="F10" s="67"/>
      <c r="G10" s="67"/>
      <c r="H10" s="67"/>
      <c r="I10" s="67"/>
    </row>
    <row r="11">
      <c r="A11" s="79" t="s">
        <v>65</v>
      </c>
      <c r="B11" s="79" t="s">
        <v>85</v>
      </c>
      <c r="C11" s="80" t="s">
        <v>86</v>
      </c>
      <c r="D11" s="79" t="s">
        <v>87</v>
      </c>
      <c r="E11" s="79" t="s">
        <v>88</v>
      </c>
      <c r="F11" s="79" t="s">
        <v>89</v>
      </c>
      <c r="G11" s="79" t="s">
        <v>90</v>
      </c>
      <c r="H11" s="79" t="s">
        <v>91</v>
      </c>
      <c r="I11" s="80" t="s">
        <v>92</v>
      </c>
    </row>
    <row r="12">
      <c r="A12" s="81">
        <v>1.0</v>
      </c>
      <c r="B12" s="82" t="s">
        <v>93</v>
      </c>
      <c r="C12" s="81">
        <v>12.0</v>
      </c>
      <c r="D12" s="81">
        <v>2.0</v>
      </c>
      <c r="E12" s="81">
        <v>1.0</v>
      </c>
      <c r="F12" s="81">
        <v>11.0</v>
      </c>
      <c r="G12" s="81">
        <v>3.0</v>
      </c>
      <c r="H12" s="81">
        <v>1.0</v>
      </c>
      <c r="I12" s="81">
        <v>15.0</v>
      </c>
    </row>
    <row r="13">
      <c r="A13" s="81">
        <v>2.0</v>
      </c>
      <c r="B13" s="82" t="s">
        <v>94</v>
      </c>
      <c r="C13" s="81">
        <v>12.0</v>
      </c>
      <c r="D13" s="81">
        <v>3.0</v>
      </c>
      <c r="E13" s="81">
        <v>0.0</v>
      </c>
      <c r="F13" s="81">
        <v>12.0</v>
      </c>
      <c r="G13" s="81">
        <v>2.0</v>
      </c>
      <c r="H13" s="81">
        <v>1.0</v>
      </c>
      <c r="I13" s="81">
        <v>15.0</v>
      </c>
    </row>
    <row r="14">
      <c r="A14" s="83"/>
      <c r="B14" s="84"/>
      <c r="C14" s="83"/>
      <c r="D14" s="83"/>
      <c r="E14" s="83"/>
      <c r="F14" s="83"/>
      <c r="G14" s="83"/>
      <c r="H14" s="83"/>
      <c r="I14" s="83"/>
    </row>
    <row r="15">
      <c r="A15" s="83"/>
      <c r="B15" s="84"/>
      <c r="C15" s="83"/>
      <c r="D15" s="83"/>
      <c r="E15" s="83"/>
      <c r="F15" s="83"/>
      <c r="G15" s="83"/>
      <c r="H15" s="83"/>
      <c r="I15" s="83"/>
    </row>
    <row r="16">
      <c r="A16" s="85"/>
      <c r="B16" s="86" t="s">
        <v>95</v>
      </c>
      <c r="C16" s="87">
        <v>24.0</v>
      </c>
      <c r="D16" s="87">
        <v>5.0</v>
      </c>
      <c r="E16" s="87">
        <v>1.0</v>
      </c>
      <c r="F16" s="87">
        <v>23.0</v>
      </c>
      <c r="G16" s="87">
        <v>5.0</v>
      </c>
      <c r="H16" s="87">
        <v>2.0</v>
      </c>
      <c r="I16" s="87">
        <v>30.0</v>
      </c>
    </row>
    <row r="17">
      <c r="A17" s="88"/>
      <c r="B17" s="67"/>
      <c r="C17" s="88"/>
      <c r="D17" s="88"/>
      <c r="E17" s="88"/>
      <c r="F17" s="88"/>
      <c r="G17" s="88"/>
      <c r="H17" s="88"/>
      <c r="I17" s="88"/>
    </row>
    <row r="18">
      <c r="A18" s="67"/>
      <c r="B18" s="89" t="s">
        <v>96</v>
      </c>
      <c r="C18" s="67"/>
      <c r="D18" s="90" t="s">
        <v>97</v>
      </c>
      <c r="E18" s="91" t="s">
        <v>98</v>
      </c>
      <c r="F18" s="67"/>
      <c r="G18" s="67"/>
      <c r="H18" s="67"/>
      <c r="I18" s="92"/>
    </row>
    <row r="19">
      <c r="A19" s="67"/>
      <c r="B19" s="89" t="s">
        <v>99</v>
      </c>
      <c r="C19" s="67"/>
      <c r="D19" s="90" t="s">
        <v>100</v>
      </c>
      <c r="E19" s="91" t="s">
        <v>98</v>
      </c>
      <c r="F19" s="67"/>
      <c r="G19" s="67"/>
      <c r="H19" s="67"/>
      <c r="I19" s="92"/>
    </row>
    <row r="20">
      <c r="A20" s="67"/>
      <c r="B20" s="89" t="s">
        <v>101</v>
      </c>
      <c r="C20" s="67"/>
      <c r="D20" s="90" t="s">
        <v>102</v>
      </c>
      <c r="E20" s="91" t="s">
        <v>98</v>
      </c>
      <c r="F20" s="67"/>
      <c r="G20" s="67"/>
      <c r="H20" s="67"/>
      <c r="I20" s="67"/>
    </row>
    <row r="21">
      <c r="A21" s="67"/>
      <c r="B21" s="89" t="s">
        <v>103</v>
      </c>
      <c r="C21" s="67"/>
      <c r="D21" s="90" t="s">
        <v>104</v>
      </c>
      <c r="E21" s="91" t="s">
        <v>98</v>
      </c>
      <c r="F21" s="67"/>
      <c r="G21" s="67"/>
      <c r="H21" s="67"/>
      <c r="I21" s="67"/>
    </row>
    <row r="22">
      <c r="A22" s="67"/>
      <c r="B22" s="89" t="s">
        <v>105</v>
      </c>
      <c r="C22" s="67"/>
      <c r="D22" s="90" t="s">
        <v>106</v>
      </c>
      <c r="E22" s="91" t="s">
        <v>98</v>
      </c>
      <c r="F22" s="67"/>
      <c r="G22" s="67"/>
      <c r="H22" s="67"/>
      <c r="I22" s="67"/>
    </row>
    <row r="23">
      <c r="A23" s="93"/>
      <c r="B23" s="67"/>
      <c r="C23" s="67"/>
      <c r="D23" s="67"/>
      <c r="E23" s="67"/>
      <c r="F23" s="67"/>
      <c r="G23" s="67"/>
      <c r="H23" s="67"/>
      <c r="I23" s="67"/>
    </row>
    <row r="24">
      <c r="A24" s="67"/>
      <c r="B24" s="67"/>
      <c r="C24" s="67"/>
      <c r="D24" s="67"/>
      <c r="E24" s="67"/>
      <c r="F24" s="67"/>
      <c r="G24" s="67"/>
      <c r="H24" s="67"/>
      <c r="I24" s="67"/>
    </row>
    <row r="25">
      <c r="A25" s="67"/>
      <c r="B25" s="67"/>
      <c r="C25" s="67"/>
      <c r="D25" s="67"/>
      <c r="E25" s="67"/>
      <c r="F25" s="67"/>
      <c r="G25" s="67"/>
      <c r="H25" s="67"/>
      <c r="I25" s="67"/>
    </row>
    <row r="26">
      <c r="A26" s="67"/>
      <c r="B26" s="67"/>
      <c r="C26" s="67"/>
      <c r="D26" s="67"/>
      <c r="E26" s="67"/>
      <c r="F26" s="67"/>
      <c r="G26" s="67"/>
      <c r="H26" s="67"/>
      <c r="I26" s="67"/>
    </row>
    <row r="27">
      <c r="A27" s="67"/>
      <c r="B27" s="67"/>
      <c r="C27" s="67"/>
      <c r="D27" s="67"/>
      <c r="E27" s="67"/>
      <c r="F27" s="67"/>
      <c r="G27" s="67"/>
      <c r="H27" s="67"/>
      <c r="I27" s="67"/>
    </row>
    <row r="28">
      <c r="A28" s="67"/>
      <c r="B28" s="67"/>
      <c r="C28" s="67"/>
      <c r="D28" s="67"/>
      <c r="E28" s="67"/>
      <c r="F28" s="67"/>
      <c r="G28" s="67"/>
      <c r="H28" s="67"/>
      <c r="I28" s="67"/>
    </row>
    <row r="29">
      <c r="A29" s="67"/>
      <c r="B29" s="67"/>
      <c r="C29" s="67"/>
      <c r="D29" s="67"/>
      <c r="E29" s="67"/>
      <c r="F29" s="67"/>
      <c r="G29" s="67"/>
      <c r="H29" s="67"/>
      <c r="I29" s="67"/>
    </row>
    <row r="30">
      <c r="A30" s="67"/>
      <c r="B30" s="67"/>
      <c r="C30" s="67"/>
      <c r="D30" s="67"/>
      <c r="E30" s="67"/>
      <c r="F30" s="67"/>
      <c r="G30" s="67"/>
      <c r="H30" s="67"/>
      <c r="I30" s="67"/>
    </row>
    <row r="31">
      <c r="A31" s="67"/>
      <c r="B31" s="67"/>
      <c r="C31" s="67"/>
      <c r="D31" s="67"/>
      <c r="E31" s="67"/>
      <c r="F31" s="67"/>
      <c r="G31" s="67"/>
      <c r="H31" s="67"/>
      <c r="I31" s="67"/>
    </row>
    <row r="32">
      <c r="A32" s="67"/>
      <c r="B32" s="67"/>
      <c r="C32" s="67"/>
      <c r="D32" s="67"/>
      <c r="E32" s="67"/>
      <c r="F32" s="67"/>
      <c r="G32" s="67"/>
      <c r="H32" s="67"/>
      <c r="I32" s="67"/>
    </row>
    <row r="33">
      <c r="A33" s="67"/>
      <c r="B33" s="67"/>
      <c r="C33" s="67"/>
      <c r="D33" s="67"/>
      <c r="E33" s="67"/>
      <c r="F33" s="67"/>
      <c r="G33" s="67"/>
      <c r="H33" s="67"/>
      <c r="I33" s="67"/>
    </row>
    <row r="34">
      <c r="A34" s="67"/>
      <c r="B34" s="67"/>
      <c r="C34" s="67"/>
      <c r="D34" s="67"/>
      <c r="E34" s="67"/>
      <c r="F34" s="67"/>
      <c r="G34" s="67"/>
      <c r="H34" s="67"/>
      <c r="I34" s="67"/>
    </row>
    <row r="35">
      <c r="A35" s="67"/>
      <c r="B35" s="67"/>
      <c r="C35" s="67"/>
      <c r="D35" s="67"/>
      <c r="E35" s="67"/>
      <c r="F35" s="67"/>
      <c r="G35" s="67"/>
      <c r="H35" s="67"/>
      <c r="I35" s="67"/>
    </row>
    <row r="36">
      <c r="A36" s="67"/>
      <c r="B36" s="67"/>
      <c r="C36" s="67"/>
      <c r="D36" s="67"/>
      <c r="E36" s="67"/>
      <c r="F36" s="67"/>
      <c r="G36" s="67"/>
      <c r="H36" s="67"/>
      <c r="I36" s="67"/>
    </row>
    <row r="37">
      <c r="A37" s="67"/>
      <c r="B37" s="67"/>
      <c r="C37" s="67"/>
      <c r="D37" s="67"/>
      <c r="E37" s="67"/>
      <c r="F37" s="67"/>
      <c r="G37" s="67"/>
      <c r="H37" s="67"/>
      <c r="I37" s="67"/>
    </row>
    <row r="38">
      <c r="A38" s="67"/>
      <c r="B38" s="67"/>
      <c r="C38" s="67"/>
      <c r="D38" s="67"/>
      <c r="E38" s="67"/>
      <c r="F38" s="67"/>
      <c r="G38" s="67"/>
      <c r="H38" s="67"/>
      <c r="I38" s="67"/>
    </row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hyperlinks>
    <hyperlink r:id="rId1" location="methodName1!A1" ref="B12"/>
    <hyperlink r:id="rId2" location="methodName2!A1" ref="B13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.0"/>
    <col customWidth="1" min="6" max="21" width="4.0"/>
  </cols>
  <sheetData>
    <row r="1">
      <c r="A1" s="94" t="s">
        <v>107</v>
      </c>
      <c r="B1" s="95"/>
      <c r="C1" s="96" t="s">
        <v>108</v>
      </c>
      <c r="D1" s="97"/>
      <c r="E1" s="98"/>
      <c r="F1" s="99" t="s">
        <v>109</v>
      </c>
      <c r="G1" s="100"/>
      <c r="H1" s="100"/>
      <c r="I1" s="100"/>
      <c r="J1" s="100"/>
      <c r="K1" s="101"/>
      <c r="L1" s="102" t="s">
        <v>110</v>
      </c>
      <c r="M1" s="97"/>
      <c r="N1" s="97"/>
      <c r="O1" s="97"/>
      <c r="P1" s="97"/>
      <c r="Q1" s="97"/>
      <c r="R1" s="97"/>
      <c r="S1" s="97"/>
      <c r="T1" s="103"/>
      <c r="U1" s="11"/>
      <c r="V1" s="104"/>
      <c r="W1" s="11"/>
      <c r="X1" s="11"/>
      <c r="Y1" s="11"/>
      <c r="Z1" s="11"/>
    </row>
    <row r="2">
      <c r="A2" s="105" t="s">
        <v>111</v>
      </c>
      <c r="B2" s="15"/>
      <c r="C2" s="106" t="s">
        <v>112</v>
      </c>
      <c r="D2" s="107"/>
      <c r="E2" s="108"/>
      <c r="F2" s="109" t="s">
        <v>113</v>
      </c>
      <c r="G2" s="14"/>
      <c r="H2" s="14"/>
      <c r="I2" s="14"/>
      <c r="J2" s="14"/>
      <c r="K2" s="15"/>
      <c r="L2" s="110"/>
      <c r="M2" s="107"/>
      <c r="N2" s="111"/>
      <c r="O2" s="112"/>
      <c r="P2" s="112"/>
      <c r="Q2" s="112"/>
      <c r="R2" s="112"/>
      <c r="S2" s="112"/>
      <c r="T2" s="113"/>
      <c r="U2" s="11"/>
      <c r="V2" s="11"/>
      <c r="W2" s="11"/>
      <c r="X2" s="11"/>
      <c r="Y2" s="11"/>
      <c r="Z2" s="11"/>
    </row>
    <row r="3">
      <c r="A3" s="105" t="s">
        <v>114</v>
      </c>
      <c r="B3" s="15"/>
      <c r="C3" s="114" t="s">
        <v>115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15"/>
      <c r="U3" s="11"/>
      <c r="V3" s="11"/>
      <c r="W3" s="11"/>
      <c r="X3" s="11"/>
      <c r="Y3" s="11"/>
      <c r="Z3" s="11"/>
    </row>
    <row r="4">
      <c r="A4" s="116" t="s">
        <v>86</v>
      </c>
      <c r="B4" s="15"/>
      <c r="C4" s="117" t="s">
        <v>87</v>
      </c>
      <c r="D4" s="14"/>
      <c r="E4" s="15"/>
      <c r="F4" s="117" t="s">
        <v>88</v>
      </c>
      <c r="G4" s="14"/>
      <c r="H4" s="14"/>
      <c r="I4" s="14"/>
      <c r="J4" s="14"/>
      <c r="K4" s="15"/>
      <c r="L4" s="118" t="s">
        <v>116</v>
      </c>
      <c r="M4" s="14"/>
      <c r="N4" s="43"/>
      <c r="O4" s="117" t="s">
        <v>92</v>
      </c>
      <c r="P4" s="14"/>
      <c r="Q4" s="14"/>
      <c r="R4" s="14"/>
      <c r="S4" s="14"/>
      <c r="T4" s="115"/>
      <c r="U4" s="11"/>
      <c r="V4" s="104"/>
      <c r="W4" s="11"/>
      <c r="X4" s="11"/>
      <c r="Y4" s="11"/>
      <c r="Z4" s="11"/>
    </row>
    <row r="5">
      <c r="A5" s="119">
        <f>COUNTIF(F45:HQ45,"P")</f>
        <v>0</v>
      </c>
      <c r="B5" s="120"/>
      <c r="C5" s="121">
        <f>COUNTIF(F45:HQ45,"F")</f>
        <v>0</v>
      </c>
      <c r="D5" s="122"/>
      <c r="E5" s="120"/>
      <c r="F5" s="121">
        <f>SUM(O5,-A5,-C5)</f>
        <v>15</v>
      </c>
      <c r="G5" s="122"/>
      <c r="H5" s="122"/>
      <c r="I5" s="122"/>
      <c r="J5" s="122"/>
      <c r="K5" s="120"/>
      <c r="L5" s="123">
        <f>COUNTIF(E44:HQ44,"N")</f>
        <v>0</v>
      </c>
      <c r="M5" s="123">
        <f>COUNTIF(E44:HQ44,"A")</f>
        <v>0</v>
      </c>
      <c r="N5" s="123">
        <f>COUNTIF(E44:HQ44,"B")</f>
        <v>0</v>
      </c>
      <c r="O5" s="121">
        <f>COUNTA(E7:HT7)</f>
        <v>15</v>
      </c>
      <c r="P5" s="122"/>
      <c r="Q5" s="122"/>
      <c r="R5" s="122"/>
      <c r="S5" s="122"/>
      <c r="T5" s="124"/>
      <c r="U5" s="125"/>
      <c r="V5" s="11"/>
      <c r="W5" s="11"/>
      <c r="X5" s="11"/>
      <c r="Y5" s="11"/>
      <c r="Z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26"/>
      <c r="B7" s="127"/>
      <c r="C7" s="127"/>
      <c r="D7" s="127"/>
      <c r="E7" s="127"/>
      <c r="F7" s="128" t="s">
        <v>117</v>
      </c>
      <c r="G7" s="128" t="s">
        <v>118</v>
      </c>
      <c r="H7" s="128" t="s">
        <v>118</v>
      </c>
      <c r="I7" s="128" t="s">
        <v>118</v>
      </c>
      <c r="J7" s="128" t="s">
        <v>118</v>
      </c>
      <c r="K7" s="128" t="s">
        <v>118</v>
      </c>
      <c r="L7" s="128" t="s">
        <v>119</v>
      </c>
      <c r="M7" s="128" t="s">
        <v>120</v>
      </c>
      <c r="N7" s="128" t="s">
        <v>121</v>
      </c>
      <c r="O7" s="128" t="s">
        <v>122</v>
      </c>
      <c r="P7" s="128" t="s">
        <v>123</v>
      </c>
      <c r="Q7" s="128" t="s">
        <v>124</v>
      </c>
      <c r="R7" s="128" t="s">
        <v>125</v>
      </c>
      <c r="S7" s="128" t="s">
        <v>126</v>
      </c>
      <c r="T7" s="129" t="s">
        <v>127</v>
      </c>
      <c r="U7" s="11"/>
      <c r="V7" s="104"/>
      <c r="W7" s="11"/>
      <c r="X7" s="11"/>
      <c r="Y7" s="11"/>
      <c r="Z7" s="11"/>
    </row>
    <row r="8">
      <c r="A8" s="130" t="s">
        <v>128</v>
      </c>
      <c r="B8" s="131" t="s">
        <v>129</v>
      </c>
      <c r="C8" s="132"/>
      <c r="D8" s="133"/>
      <c r="E8" s="134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6"/>
      <c r="U8" s="11"/>
      <c r="V8" s="11"/>
      <c r="W8" s="11"/>
      <c r="X8" s="11"/>
      <c r="Y8" s="11"/>
      <c r="Z8" s="11"/>
    </row>
    <row r="9">
      <c r="A9" s="137"/>
      <c r="B9" s="138"/>
      <c r="C9" s="132"/>
      <c r="D9" s="133"/>
      <c r="E9" s="139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6"/>
      <c r="U9" s="11"/>
      <c r="V9" s="104"/>
      <c r="W9" s="11"/>
      <c r="X9" s="11"/>
      <c r="Y9" s="11"/>
      <c r="Z9" s="11"/>
    </row>
    <row r="10">
      <c r="A10" s="137"/>
      <c r="B10" s="138"/>
      <c r="C10" s="132"/>
      <c r="D10" s="133"/>
      <c r="E10" s="139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6"/>
      <c r="U10" s="11"/>
      <c r="V10" s="11"/>
      <c r="W10" s="11"/>
      <c r="X10" s="11"/>
      <c r="Y10" s="11"/>
      <c r="Z10" s="11"/>
    </row>
    <row r="11">
      <c r="A11" s="137"/>
      <c r="B11" s="138"/>
      <c r="C11" s="132"/>
      <c r="D11" s="133"/>
      <c r="E11" s="33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6"/>
      <c r="U11" s="11"/>
      <c r="V11" s="11"/>
      <c r="W11" s="11"/>
      <c r="X11" s="11"/>
      <c r="Y11" s="11"/>
      <c r="Z11" s="11"/>
    </row>
    <row r="12">
      <c r="A12" s="137"/>
      <c r="B12" s="131" t="s">
        <v>130</v>
      </c>
      <c r="C12" s="132"/>
      <c r="D12" s="133"/>
      <c r="E12" s="139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6"/>
      <c r="U12" s="11"/>
      <c r="V12" s="11"/>
      <c r="W12" s="11"/>
      <c r="X12" s="11"/>
      <c r="Y12" s="11"/>
      <c r="Z12" s="11"/>
    </row>
    <row r="13">
      <c r="A13" s="137"/>
      <c r="B13" s="138"/>
      <c r="C13" s="132"/>
      <c r="D13" s="140">
        <v>-2.0</v>
      </c>
      <c r="E13" s="139"/>
      <c r="F13" s="141" t="s">
        <v>131</v>
      </c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6"/>
      <c r="U13" s="11"/>
      <c r="V13" s="11"/>
      <c r="W13" s="11"/>
      <c r="X13" s="11"/>
      <c r="Y13" s="11"/>
      <c r="Z13" s="11"/>
    </row>
    <row r="14">
      <c r="A14" s="137"/>
      <c r="B14" s="138"/>
      <c r="C14" s="132"/>
      <c r="D14" s="140">
        <v>-1.0</v>
      </c>
      <c r="E14" s="139"/>
      <c r="F14" s="135"/>
      <c r="G14" s="135"/>
      <c r="H14" s="135"/>
      <c r="I14" s="135"/>
      <c r="J14" s="135"/>
      <c r="K14" s="135"/>
      <c r="L14" s="141" t="s">
        <v>131</v>
      </c>
      <c r="M14" s="135"/>
      <c r="N14" s="135"/>
      <c r="O14" s="135"/>
      <c r="P14" s="135"/>
      <c r="Q14" s="135"/>
      <c r="R14" s="135"/>
      <c r="S14" s="135"/>
      <c r="T14" s="136"/>
      <c r="U14" s="11"/>
      <c r="V14" s="11"/>
      <c r="W14" s="11"/>
      <c r="X14" s="11"/>
      <c r="Y14" s="11"/>
      <c r="Z14" s="11"/>
    </row>
    <row r="15">
      <c r="A15" s="137"/>
      <c r="B15" s="138"/>
      <c r="C15" s="132"/>
      <c r="D15" s="140">
        <v>0.0</v>
      </c>
      <c r="E15" s="139"/>
      <c r="F15" s="135"/>
      <c r="G15" s="141" t="s">
        <v>131</v>
      </c>
      <c r="H15" s="141" t="s">
        <v>131</v>
      </c>
      <c r="I15" s="141" t="s">
        <v>131</v>
      </c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6"/>
      <c r="U15" s="11"/>
      <c r="V15" s="11"/>
      <c r="W15" s="11"/>
      <c r="X15" s="11"/>
      <c r="Y15" s="11"/>
      <c r="Z15" s="11"/>
    </row>
    <row r="16">
      <c r="A16" s="137"/>
      <c r="B16" s="138"/>
      <c r="C16" s="132"/>
      <c r="D16" s="140">
        <v>1.0</v>
      </c>
      <c r="E16" s="139"/>
      <c r="F16" s="135"/>
      <c r="G16" s="135"/>
      <c r="H16" s="135"/>
      <c r="I16" s="135"/>
      <c r="J16" s="141" t="s">
        <v>131</v>
      </c>
      <c r="K16" s="141" t="s">
        <v>131</v>
      </c>
      <c r="L16" s="135"/>
      <c r="M16" s="135"/>
      <c r="N16" s="135"/>
      <c r="O16" s="135"/>
      <c r="P16" s="135"/>
      <c r="Q16" s="135"/>
      <c r="R16" s="135"/>
      <c r="S16" s="135"/>
      <c r="T16" s="136"/>
      <c r="U16" s="11"/>
      <c r="V16" s="11"/>
      <c r="W16" s="11"/>
      <c r="X16" s="11"/>
      <c r="Y16" s="11"/>
      <c r="Z16" s="11"/>
    </row>
    <row r="17">
      <c r="A17" s="137"/>
      <c r="B17" s="131" t="s">
        <v>132</v>
      </c>
      <c r="C17" s="132"/>
      <c r="D17" s="133"/>
      <c r="E17" s="139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6"/>
      <c r="U17" s="11"/>
      <c r="V17" s="11"/>
      <c r="W17" s="11"/>
      <c r="X17" s="11"/>
      <c r="Y17" s="11"/>
      <c r="Z17" s="11"/>
    </row>
    <row r="18">
      <c r="A18" s="137"/>
      <c r="B18" s="138"/>
      <c r="C18" s="132"/>
      <c r="D18" s="142">
        <v>0.0</v>
      </c>
      <c r="F18" s="135"/>
      <c r="G18" s="141" t="s">
        <v>131</v>
      </c>
      <c r="H18" s="141" t="s">
        <v>131</v>
      </c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6"/>
      <c r="U18" s="11"/>
      <c r="V18" s="11"/>
      <c r="W18" s="11"/>
      <c r="X18" s="11"/>
      <c r="Y18" s="11"/>
      <c r="Z18" s="11"/>
    </row>
    <row r="19">
      <c r="A19" s="137"/>
      <c r="B19" s="138"/>
      <c r="C19" s="132"/>
      <c r="D19" s="140">
        <v>-2.0</v>
      </c>
      <c r="E19" s="139"/>
      <c r="F19" s="135"/>
      <c r="G19" s="135"/>
      <c r="H19" s="135"/>
      <c r="I19" s="135"/>
      <c r="J19" s="141" t="s">
        <v>131</v>
      </c>
      <c r="K19" s="141" t="s">
        <v>131</v>
      </c>
      <c r="L19" s="141" t="s">
        <v>131</v>
      </c>
      <c r="M19" s="135"/>
      <c r="N19" s="135"/>
      <c r="O19" s="135"/>
      <c r="P19" s="135"/>
      <c r="Q19" s="135"/>
      <c r="R19" s="135"/>
      <c r="S19" s="135"/>
      <c r="T19" s="136"/>
      <c r="U19" s="11"/>
      <c r="V19" s="11"/>
      <c r="W19" s="11"/>
      <c r="X19" s="11"/>
      <c r="Y19" s="11"/>
      <c r="Z19" s="11"/>
    </row>
    <row r="20">
      <c r="A20" s="137"/>
      <c r="B20" s="138"/>
      <c r="C20" s="132"/>
      <c r="D20" s="140">
        <v>2.0</v>
      </c>
      <c r="E20" s="139"/>
      <c r="F20" s="135"/>
      <c r="G20" s="135"/>
      <c r="H20" s="135"/>
      <c r="I20" s="141" t="s">
        <v>131</v>
      </c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6"/>
      <c r="U20" s="11"/>
      <c r="V20" s="11"/>
      <c r="W20" s="11"/>
      <c r="X20" s="11"/>
      <c r="Y20" s="11"/>
      <c r="Z20" s="11"/>
    </row>
    <row r="21">
      <c r="A21" s="137"/>
      <c r="B21" s="131" t="s">
        <v>133</v>
      </c>
      <c r="C21" s="132"/>
      <c r="D21" s="133"/>
      <c r="E21" s="139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6"/>
      <c r="U21" s="11"/>
      <c r="V21" s="11"/>
      <c r="W21" s="11"/>
      <c r="X21" s="11"/>
      <c r="Y21" s="11"/>
      <c r="Z21" s="11"/>
    </row>
    <row r="22">
      <c r="A22" s="137"/>
      <c r="B22" s="138"/>
      <c r="C22" s="132"/>
      <c r="D22" s="140">
        <v>0.0</v>
      </c>
      <c r="E22" s="139"/>
      <c r="F22" s="135"/>
      <c r="G22" s="141" t="s">
        <v>131</v>
      </c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6"/>
      <c r="U22" s="11"/>
      <c r="V22" s="11"/>
      <c r="W22" s="11"/>
      <c r="X22" s="11"/>
      <c r="Y22" s="11"/>
      <c r="Z22" s="11"/>
    </row>
    <row r="23">
      <c r="A23" s="137"/>
      <c r="B23" s="138"/>
      <c r="C23" s="132"/>
      <c r="D23" s="140">
        <v>1.0</v>
      </c>
      <c r="E23" s="139"/>
      <c r="F23" s="135"/>
      <c r="G23" s="135"/>
      <c r="H23" s="141" t="s">
        <v>131</v>
      </c>
      <c r="I23" s="141" t="s">
        <v>131</v>
      </c>
      <c r="J23" s="141" t="s">
        <v>131</v>
      </c>
      <c r="K23" s="135"/>
      <c r="L23" s="135"/>
      <c r="M23" s="135"/>
      <c r="N23" s="135"/>
      <c r="O23" s="135"/>
      <c r="P23" s="135"/>
      <c r="Q23" s="135"/>
      <c r="R23" s="135"/>
      <c r="S23" s="135"/>
      <c r="T23" s="136"/>
      <c r="U23" s="11"/>
      <c r="V23" s="11"/>
      <c r="W23" s="11"/>
      <c r="X23" s="11"/>
      <c r="Y23" s="11"/>
      <c r="Z23" s="11"/>
    </row>
    <row r="24">
      <c r="A24" s="137"/>
      <c r="B24" s="138"/>
      <c r="C24" s="132"/>
      <c r="D24" s="140">
        <v>3.0</v>
      </c>
      <c r="E24" s="139"/>
      <c r="F24" s="135"/>
      <c r="G24" s="135"/>
      <c r="H24" s="135"/>
      <c r="I24" s="135"/>
      <c r="J24" s="135"/>
      <c r="K24" s="135"/>
      <c r="L24" s="141" t="s">
        <v>131</v>
      </c>
      <c r="M24" s="135"/>
      <c r="N24" s="135"/>
      <c r="O24" s="135"/>
      <c r="P24" s="135"/>
      <c r="Q24" s="135"/>
      <c r="R24" s="135"/>
      <c r="S24" s="135"/>
      <c r="T24" s="136"/>
      <c r="U24" s="11"/>
      <c r="V24" s="11"/>
      <c r="W24" s="11"/>
      <c r="X24" s="11"/>
      <c r="Y24" s="11"/>
      <c r="Z24" s="11"/>
    </row>
    <row r="25">
      <c r="A25" s="137"/>
      <c r="B25" s="138"/>
      <c r="C25" s="132"/>
      <c r="D25" s="140">
        <v>5.0</v>
      </c>
      <c r="E25" s="139"/>
      <c r="F25" s="135"/>
      <c r="G25" s="135"/>
      <c r="H25" s="135"/>
      <c r="I25" s="135"/>
      <c r="J25" s="135"/>
      <c r="K25" s="141" t="s">
        <v>131</v>
      </c>
      <c r="L25" s="135"/>
      <c r="M25" s="135"/>
      <c r="N25" s="135"/>
      <c r="O25" s="135"/>
      <c r="P25" s="135"/>
      <c r="Q25" s="135"/>
      <c r="R25" s="135"/>
      <c r="S25" s="135"/>
      <c r="T25" s="136"/>
      <c r="U25" s="11"/>
      <c r="V25" s="11"/>
      <c r="W25" s="11"/>
      <c r="X25" s="11"/>
      <c r="Y25" s="11"/>
      <c r="Z25" s="11"/>
    </row>
    <row r="26">
      <c r="A26" s="137"/>
      <c r="B26" s="138"/>
      <c r="C26" s="132"/>
      <c r="D26" s="133"/>
      <c r="E26" s="139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6"/>
      <c r="U26" s="11"/>
      <c r="V26" s="11"/>
      <c r="W26" s="11"/>
      <c r="X26" s="11"/>
      <c r="Y26" s="11"/>
      <c r="Z26" s="11"/>
    </row>
    <row r="27">
      <c r="A27" s="137"/>
      <c r="B27" s="138"/>
      <c r="C27" s="132"/>
      <c r="D27" s="133"/>
      <c r="E27" s="139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6"/>
      <c r="U27" s="11"/>
      <c r="V27" s="11"/>
      <c r="W27" s="11"/>
      <c r="X27" s="11"/>
      <c r="Y27" s="11"/>
      <c r="Z27" s="11"/>
    </row>
    <row r="28">
      <c r="A28" s="137"/>
      <c r="B28" s="138"/>
      <c r="C28" s="132"/>
      <c r="D28" s="133"/>
      <c r="E28" s="139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6"/>
      <c r="U28" s="11"/>
      <c r="V28" s="11"/>
      <c r="W28" s="11"/>
      <c r="X28" s="11"/>
      <c r="Y28" s="11"/>
      <c r="Z28" s="11"/>
    </row>
    <row r="29">
      <c r="A29" s="137"/>
      <c r="B29" s="138"/>
      <c r="C29" s="132"/>
      <c r="D29" s="133"/>
      <c r="E29" s="139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6"/>
      <c r="U29" s="11"/>
      <c r="V29" s="11"/>
      <c r="W29" s="11"/>
      <c r="X29" s="11"/>
      <c r="Y29" s="11"/>
      <c r="Z29" s="11"/>
    </row>
    <row r="30">
      <c r="A30" s="137"/>
      <c r="B30" s="143"/>
      <c r="C30" s="144"/>
      <c r="D30" s="145"/>
      <c r="E30" s="146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8"/>
      <c r="U30" s="11"/>
      <c r="V30" s="11"/>
      <c r="W30" s="11"/>
      <c r="X30" s="11"/>
      <c r="Y30" s="11"/>
      <c r="Z30" s="11"/>
    </row>
    <row r="31">
      <c r="A31" s="149" t="s">
        <v>134</v>
      </c>
      <c r="B31" s="150" t="s">
        <v>135</v>
      </c>
      <c r="C31" s="112"/>
      <c r="D31" s="151"/>
      <c r="E31" s="152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4"/>
      <c r="U31" s="11"/>
      <c r="V31" s="11"/>
      <c r="W31" s="11"/>
      <c r="X31" s="11"/>
      <c r="Y31" s="11"/>
      <c r="Z31" s="11"/>
    </row>
    <row r="32">
      <c r="A32" s="155"/>
      <c r="B32" s="156" t="s">
        <v>136</v>
      </c>
      <c r="C32" s="157"/>
      <c r="D32" s="158"/>
      <c r="E32" s="159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6"/>
      <c r="U32" s="11"/>
      <c r="V32" s="11"/>
      <c r="W32" s="11"/>
      <c r="X32" s="11"/>
      <c r="Y32" s="11"/>
      <c r="Z32" s="11"/>
    </row>
    <row r="33">
      <c r="A33" s="155"/>
      <c r="B33" s="160"/>
      <c r="C33" s="157"/>
      <c r="D33" s="161" t="s">
        <v>137</v>
      </c>
      <c r="E33" s="159"/>
      <c r="F33" s="141" t="s">
        <v>131</v>
      </c>
      <c r="G33" s="135"/>
      <c r="H33" s="141" t="s">
        <v>131</v>
      </c>
      <c r="I33" s="135"/>
      <c r="J33" s="135"/>
      <c r="K33" s="141" t="s">
        <v>131</v>
      </c>
      <c r="L33" s="135"/>
      <c r="M33" s="135"/>
      <c r="N33" s="135"/>
      <c r="O33" s="135"/>
      <c r="P33" s="135"/>
      <c r="Q33" s="135"/>
      <c r="R33" s="135"/>
      <c r="S33" s="135"/>
      <c r="T33" s="136"/>
      <c r="U33" s="11"/>
      <c r="V33" s="11"/>
      <c r="W33" s="11"/>
      <c r="X33" s="11"/>
      <c r="Y33" s="11"/>
      <c r="Z33" s="11"/>
    </row>
    <row r="34">
      <c r="A34" s="155"/>
      <c r="B34" s="160"/>
      <c r="C34" s="157"/>
      <c r="D34" s="161" t="s">
        <v>138</v>
      </c>
      <c r="E34" s="159"/>
      <c r="F34" s="135"/>
      <c r="G34" s="141" t="s">
        <v>131</v>
      </c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6"/>
      <c r="U34" s="11"/>
      <c r="V34" s="11"/>
      <c r="W34" s="11"/>
      <c r="X34" s="11"/>
      <c r="Y34" s="11"/>
      <c r="Z34" s="11"/>
    </row>
    <row r="35">
      <c r="A35" s="155"/>
      <c r="B35" s="160"/>
      <c r="C35" s="157"/>
      <c r="D35" s="161" t="s">
        <v>139</v>
      </c>
      <c r="E35" s="159"/>
      <c r="F35" s="135"/>
      <c r="G35" s="135"/>
      <c r="H35" s="135"/>
      <c r="I35" s="141" t="s">
        <v>131</v>
      </c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6"/>
      <c r="U35" s="11"/>
      <c r="V35" s="11"/>
      <c r="W35" s="11"/>
      <c r="X35" s="11"/>
      <c r="Y35" s="11"/>
      <c r="Z35" s="11"/>
    </row>
    <row r="36">
      <c r="A36" s="155"/>
      <c r="B36" s="160"/>
      <c r="C36" s="157"/>
      <c r="D36" s="161" t="s">
        <v>140</v>
      </c>
      <c r="E36" s="159"/>
      <c r="F36" s="135"/>
      <c r="G36" s="135"/>
      <c r="H36" s="135"/>
      <c r="I36" s="135"/>
      <c r="J36" s="141" t="s">
        <v>131</v>
      </c>
      <c r="K36" s="135"/>
      <c r="L36" s="135"/>
      <c r="M36" s="135"/>
      <c r="N36" s="135"/>
      <c r="O36" s="135"/>
      <c r="P36" s="135"/>
      <c r="Q36" s="135"/>
      <c r="R36" s="135"/>
      <c r="S36" s="135"/>
      <c r="T36" s="136"/>
      <c r="U36" s="11"/>
      <c r="V36" s="11"/>
      <c r="W36" s="11"/>
      <c r="X36" s="11"/>
      <c r="Y36" s="11"/>
      <c r="Z36" s="11"/>
    </row>
    <row r="37">
      <c r="A37" s="155"/>
      <c r="B37" s="160"/>
      <c r="C37" s="157"/>
      <c r="D37" s="161" t="s">
        <v>141</v>
      </c>
      <c r="E37" s="159"/>
      <c r="F37" s="135"/>
      <c r="G37" s="135"/>
      <c r="H37" s="135"/>
      <c r="I37" s="135"/>
      <c r="J37" s="135"/>
      <c r="K37" s="135"/>
      <c r="L37" s="141" t="s">
        <v>131</v>
      </c>
      <c r="M37" s="135"/>
      <c r="N37" s="135"/>
      <c r="O37" s="135"/>
      <c r="P37" s="135"/>
      <c r="Q37" s="135"/>
      <c r="R37" s="135"/>
      <c r="S37" s="135"/>
      <c r="T37" s="136"/>
      <c r="U37" s="11"/>
      <c r="V37" s="11"/>
      <c r="W37" s="11"/>
      <c r="X37" s="11"/>
      <c r="Y37" s="11"/>
      <c r="Z37" s="11"/>
    </row>
    <row r="38">
      <c r="A38" s="155"/>
      <c r="B38" s="162" t="s">
        <v>142</v>
      </c>
      <c r="C38" s="157"/>
      <c r="D38" s="158"/>
      <c r="E38" s="159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6"/>
      <c r="U38" s="11"/>
      <c r="V38" s="11"/>
      <c r="W38" s="11"/>
      <c r="X38" s="11"/>
      <c r="Y38" s="11"/>
      <c r="Z38" s="11"/>
    </row>
    <row r="39">
      <c r="A39" s="155"/>
      <c r="B39" s="160"/>
      <c r="C39" s="157"/>
      <c r="D39" s="158"/>
      <c r="E39" s="159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6"/>
      <c r="U39" s="11"/>
      <c r="V39" s="11"/>
      <c r="W39" s="11"/>
      <c r="X39" s="11"/>
      <c r="Y39" s="11"/>
      <c r="Z39" s="11"/>
    </row>
    <row r="40">
      <c r="A40" s="155"/>
      <c r="B40" s="162" t="s">
        <v>143</v>
      </c>
      <c r="C40" s="157"/>
      <c r="D40" s="158"/>
      <c r="E40" s="159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6"/>
      <c r="U40" s="11"/>
      <c r="V40" s="11"/>
      <c r="W40" s="11"/>
      <c r="X40" s="11"/>
      <c r="Y40" s="11"/>
      <c r="Z40" s="11"/>
    </row>
    <row r="41">
      <c r="A41" s="155"/>
      <c r="B41" s="160"/>
      <c r="C41" s="157"/>
      <c r="D41" s="161" t="s">
        <v>144</v>
      </c>
      <c r="E41" s="159"/>
      <c r="F41" s="141" t="s">
        <v>131</v>
      </c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6"/>
      <c r="U41" s="11"/>
      <c r="V41" s="11"/>
      <c r="W41" s="11"/>
      <c r="X41" s="11"/>
      <c r="Y41" s="11"/>
      <c r="Z41" s="11"/>
    </row>
    <row r="42">
      <c r="A42" s="155"/>
      <c r="B42" s="163"/>
      <c r="C42" s="164"/>
      <c r="D42" s="165"/>
      <c r="E42" s="166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8"/>
      <c r="U42" s="11"/>
      <c r="V42" s="11"/>
      <c r="W42" s="11"/>
      <c r="X42" s="11"/>
      <c r="Y42" s="11"/>
      <c r="Z42" s="11"/>
    </row>
    <row r="43">
      <c r="A43" s="149" t="s">
        <v>145</v>
      </c>
      <c r="B43" s="169" t="s">
        <v>146</v>
      </c>
      <c r="C43" s="170"/>
      <c r="D43" s="171"/>
      <c r="E43" s="172"/>
      <c r="F43" s="173" t="s">
        <v>90</v>
      </c>
      <c r="G43" s="173" t="s">
        <v>89</v>
      </c>
      <c r="H43" s="173" t="s">
        <v>89</v>
      </c>
      <c r="I43" s="173" t="s">
        <v>89</v>
      </c>
      <c r="J43" s="173" t="s">
        <v>89</v>
      </c>
      <c r="K43" s="173" t="s">
        <v>89</v>
      </c>
      <c r="L43" s="173" t="s">
        <v>91</v>
      </c>
      <c r="M43" s="172"/>
      <c r="N43" s="172"/>
      <c r="O43" s="172"/>
      <c r="P43" s="172"/>
      <c r="Q43" s="172"/>
      <c r="R43" s="172"/>
      <c r="S43" s="172"/>
      <c r="T43" s="174"/>
      <c r="U43" s="11"/>
      <c r="V43" s="11"/>
      <c r="W43" s="11"/>
      <c r="X43" s="11"/>
      <c r="Y43" s="11"/>
      <c r="Z43" s="11"/>
    </row>
    <row r="44">
      <c r="A44" s="175"/>
      <c r="B44" s="176" t="s">
        <v>147</v>
      </c>
      <c r="C44" s="14"/>
      <c r="D44" s="1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6"/>
      <c r="U44" s="11"/>
      <c r="V44" s="11"/>
      <c r="W44" s="11"/>
      <c r="X44" s="11"/>
      <c r="Y44" s="11"/>
      <c r="Z44" s="11"/>
    </row>
    <row r="45">
      <c r="A45" s="175"/>
      <c r="B45" s="177" t="s">
        <v>148</v>
      </c>
      <c r="C45" s="14"/>
      <c r="D45" s="15"/>
      <c r="E45" s="135"/>
      <c r="F45" s="178">
        <v>39139.0</v>
      </c>
      <c r="G45" s="178">
        <v>39139.0</v>
      </c>
      <c r="H45" s="178">
        <v>39139.0</v>
      </c>
      <c r="I45" s="178">
        <v>39139.0</v>
      </c>
      <c r="J45" s="178">
        <v>39139.0</v>
      </c>
      <c r="K45" s="178">
        <v>39139.0</v>
      </c>
      <c r="L45" s="178">
        <v>39144.0</v>
      </c>
      <c r="M45" s="179"/>
      <c r="N45" s="179"/>
      <c r="O45" s="179"/>
      <c r="P45" s="179"/>
      <c r="Q45" s="179"/>
      <c r="R45" s="179"/>
      <c r="S45" s="179"/>
      <c r="T45" s="180"/>
      <c r="U45" s="11"/>
      <c r="V45" s="11"/>
      <c r="W45" s="11"/>
      <c r="X45" s="11"/>
      <c r="Y45" s="11"/>
      <c r="Z45" s="11"/>
    </row>
    <row r="46">
      <c r="A46" s="181"/>
      <c r="B46" s="182" t="s">
        <v>149</v>
      </c>
      <c r="C46" s="183"/>
      <c r="D46" s="184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8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5:D45"/>
    <mergeCell ref="B46:D46"/>
    <mergeCell ref="A5:B5"/>
    <mergeCell ref="C5:E5"/>
    <mergeCell ref="F5:K5"/>
    <mergeCell ref="O5:T5"/>
    <mergeCell ref="D18:E18"/>
    <mergeCell ref="B43:D43"/>
    <mergeCell ref="B44:D44"/>
  </mergeCells>
  <dataValidations>
    <dataValidation type="list" allowBlank="1" showInputMessage="1" showErrorMessage="1" prompt=" - " sqref="F8:T42">
      <formula1>"O"</formula1>
    </dataValidation>
    <dataValidation type="list" allowBlank="1" showInputMessage="1" showErrorMessage="1" prompt=" - " sqref="F43:T43">
      <formula1>"N,A,B"</formula1>
    </dataValidation>
    <dataValidation type="list" allowBlank="1" showInputMessage="1" showErrorMessage="1" prompt=" - " sqref="F44:T44">
      <formula1>"P,F"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5" max="19" width="3.63"/>
  </cols>
  <sheetData>
    <row r="1">
      <c r="A1" s="185" t="s">
        <v>107</v>
      </c>
      <c r="B1" s="14"/>
      <c r="C1" s="186" t="s">
        <v>71</v>
      </c>
      <c r="D1" s="14"/>
      <c r="E1" s="187" t="s">
        <v>109</v>
      </c>
      <c r="F1" s="188"/>
      <c r="G1" s="188"/>
      <c r="H1" s="188"/>
      <c r="I1" s="188"/>
      <c r="J1" s="188"/>
      <c r="K1" s="189" t="s">
        <v>150</v>
      </c>
      <c r="L1" s="14"/>
      <c r="M1" s="14"/>
      <c r="N1" s="14"/>
      <c r="O1" s="14"/>
      <c r="P1" s="14"/>
      <c r="Q1" s="14"/>
      <c r="R1" s="14"/>
      <c r="S1" s="15"/>
      <c r="T1" s="190"/>
      <c r="U1" s="190"/>
      <c r="V1" s="190"/>
    </row>
    <row r="2">
      <c r="A2" s="185" t="s">
        <v>111</v>
      </c>
      <c r="B2" s="15"/>
      <c r="C2" s="191" t="s">
        <v>112</v>
      </c>
      <c r="D2" s="192"/>
      <c r="E2" s="193" t="s">
        <v>113</v>
      </c>
      <c r="F2" s="14"/>
      <c r="G2" s="14"/>
      <c r="H2" s="14"/>
      <c r="I2" s="14"/>
      <c r="J2" s="15"/>
      <c r="K2" s="194"/>
      <c r="L2" s="192"/>
      <c r="M2" s="192"/>
      <c r="N2" s="195"/>
      <c r="O2" s="195"/>
      <c r="P2" s="195"/>
      <c r="Q2" s="195"/>
      <c r="R2" s="195"/>
      <c r="S2" s="196"/>
      <c r="T2" s="190"/>
      <c r="U2" s="190"/>
      <c r="V2" s="190"/>
    </row>
    <row r="3">
      <c r="A3" s="185" t="s">
        <v>114</v>
      </c>
      <c r="B3" s="15"/>
      <c r="C3" s="197" t="s">
        <v>115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5"/>
      <c r="T3" s="190"/>
      <c r="U3" s="190"/>
      <c r="V3" s="190"/>
    </row>
    <row r="4">
      <c r="A4" s="198" t="s">
        <v>86</v>
      </c>
      <c r="B4" s="15"/>
      <c r="C4" s="199" t="s">
        <v>87</v>
      </c>
      <c r="D4" s="14"/>
      <c r="E4" s="199" t="s">
        <v>88</v>
      </c>
      <c r="F4" s="14"/>
      <c r="G4" s="14"/>
      <c r="H4" s="14"/>
      <c r="I4" s="14"/>
      <c r="J4" s="15"/>
      <c r="K4" s="199" t="s">
        <v>116</v>
      </c>
      <c r="L4" s="14"/>
      <c r="M4" s="14"/>
      <c r="N4" s="200" t="s">
        <v>92</v>
      </c>
      <c r="O4" s="14"/>
      <c r="P4" s="14"/>
      <c r="Q4" s="14"/>
      <c r="R4" s="14"/>
      <c r="S4" s="15"/>
      <c r="T4" s="190"/>
      <c r="U4" s="190"/>
      <c r="V4" s="190"/>
    </row>
    <row r="5">
      <c r="A5" s="201">
        <v>12.0</v>
      </c>
      <c r="B5" s="15"/>
      <c r="C5" s="202">
        <v>2.0</v>
      </c>
      <c r="D5" s="14"/>
      <c r="E5" s="202">
        <v>1.0</v>
      </c>
      <c r="F5" s="14"/>
      <c r="G5" s="14"/>
      <c r="H5" s="14"/>
      <c r="I5" s="14"/>
      <c r="J5" s="15"/>
      <c r="K5" s="203">
        <v>11.0</v>
      </c>
      <c r="L5" s="204">
        <v>3.0</v>
      </c>
      <c r="M5" s="204">
        <v>1.0</v>
      </c>
      <c r="N5" s="201">
        <v>15.0</v>
      </c>
      <c r="O5" s="14"/>
      <c r="P5" s="14"/>
      <c r="Q5" s="14"/>
      <c r="R5" s="14"/>
      <c r="S5" s="15"/>
      <c r="T5" s="190"/>
      <c r="U5" s="190"/>
      <c r="V5" s="190"/>
    </row>
    <row r="6">
      <c r="A6" s="190"/>
      <c r="B6" s="205"/>
      <c r="C6" s="190"/>
      <c r="D6" s="206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</row>
    <row r="7">
      <c r="A7" s="207"/>
      <c r="B7" s="208"/>
      <c r="C7" s="209"/>
      <c r="D7" s="210"/>
      <c r="E7" s="211" t="s">
        <v>117</v>
      </c>
      <c r="F7" s="211" t="s">
        <v>118</v>
      </c>
      <c r="G7" s="211" t="s">
        <v>151</v>
      </c>
      <c r="H7" s="211" t="s">
        <v>152</v>
      </c>
      <c r="I7" s="211" t="s">
        <v>153</v>
      </c>
      <c r="J7" s="211" t="s">
        <v>154</v>
      </c>
      <c r="K7" s="211" t="s">
        <v>119</v>
      </c>
      <c r="L7" s="211" t="s">
        <v>120</v>
      </c>
      <c r="M7" s="211" t="s">
        <v>121</v>
      </c>
      <c r="N7" s="211" t="s">
        <v>122</v>
      </c>
      <c r="O7" s="211" t="s">
        <v>123</v>
      </c>
      <c r="P7" s="211" t="s">
        <v>124</v>
      </c>
      <c r="Q7" s="211" t="s">
        <v>125</v>
      </c>
      <c r="R7" s="211" t="s">
        <v>126</v>
      </c>
      <c r="S7" s="212" t="s">
        <v>127</v>
      </c>
      <c r="T7" s="213"/>
      <c r="U7" s="214"/>
      <c r="V7" s="214"/>
      <c r="W7" s="215"/>
      <c r="X7" s="215"/>
      <c r="Y7" s="215"/>
      <c r="Z7" s="215"/>
    </row>
    <row r="8">
      <c r="A8" s="216" t="s">
        <v>128</v>
      </c>
      <c r="B8" s="217" t="s">
        <v>155</v>
      </c>
      <c r="C8" s="218"/>
      <c r="D8" s="219"/>
      <c r="E8" s="220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2"/>
      <c r="T8" s="190"/>
      <c r="U8" s="190"/>
      <c r="V8" s="190"/>
    </row>
    <row r="9">
      <c r="A9" s="223"/>
      <c r="B9" s="224"/>
      <c r="C9" s="218"/>
      <c r="D9" s="225" t="s">
        <v>156</v>
      </c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2"/>
      <c r="T9" s="190"/>
      <c r="U9" s="190"/>
      <c r="V9" s="190"/>
    </row>
    <row r="10">
      <c r="A10" s="223"/>
      <c r="B10" s="224"/>
      <c r="C10" s="218"/>
      <c r="D10" s="219"/>
      <c r="E10" s="226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2"/>
      <c r="T10" s="190"/>
      <c r="U10" s="190"/>
      <c r="V10" s="190"/>
    </row>
    <row r="11">
      <c r="A11" s="223"/>
      <c r="B11" s="224"/>
      <c r="C11" s="218"/>
      <c r="D11" s="219"/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2"/>
      <c r="T11" s="190"/>
      <c r="U11" s="190"/>
      <c r="V11" s="190"/>
    </row>
    <row r="12">
      <c r="A12" s="223"/>
      <c r="B12" s="217" t="s">
        <v>157</v>
      </c>
      <c r="C12" s="218"/>
      <c r="D12" s="219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2"/>
      <c r="T12" s="190"/>
      <c r="U12" s="190"/>
      <c r="V12" s="190"/>
    </row>
    <row r="13">
      <c r="A13" s="223"/>
      <c r="B13" s="224"/>
      <c r="C13" s="218"/>
      <c r="D13" s="225">
        <v>29.0</v>
      </c>
      <c r="E13" s="227" t="s">
        <v>131</v>
      </c>
      <c r="F13" s="227" t="s">
        <v>131</v>
      </c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2"/>
      <c r="T13" s="190"/>
      <c r="U13" s="190"/>
      <c r="V13" s="190"/>
    </row>
    <row r="14">
      <c r="A14" s="223"/>
      <c r="B14" s="224"/>
      <c r="C14" s="218"/>
      <c r="D14" s="225">
        <v>30.0</v>
      </c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2"/>
      <c r="T14" s="190"/>
      <c r="U14" s="190"/>
      <c r="V14" s="190"/>
    </row>
    <row r="15">
      <c r="A15" s="223"/>
      <c r="B15" s="224"/>
      <c r="C15" s="218"/>
      <c r="D15" s="225">
        <v>31.0</v>
      </c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2"/>
      <c r="T15" s="228"/>
      <c r="U15" s="190"/>
      <c r="V15" s="190"/>
    </row>
    <row r="16">
      <c r="A16" s="223"/>
      <c r="B16" s="217" t="s">
        <v>158</v>
      </c>
      <c r="C16" s="218"/>
      <c r="D16" s="219"/>
      <c r="E16" s="226"/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2"/>
      <c r="T16" s="228"/>
      <c r="U16" s="190"/>
      <c r="V16" s="190"/>
    </row>
    <row r="17">
      <c r="A17" s="223"/>
      <c r="B17" s="224"/>
      <c r="C17" s="218"/>
      <c r="D17" s="229">
        <v>2.0</v>
      </c>
      <c r="E17" s="227" t="s">
        <v>131</v>
      </c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2"/>
      <c r="T17" s="190"/>
      <c r="U17" s="190"/>
      <c r="V17" s="190"/>
    </row>
    <row r="18">
      <c r="A18" s="223"/>
      <c r="B18" s="224"/>
      <c r="C18" s="218"/>
      <c r="D18" s="230">
        <v>3.0</v>
      </c>
      <c r="E18" s="226"/>
      <c r="F18" s="227" t="s">
        <v>131</v>
      </c>
      <c r="G18" s="226"/>
      <c r="H18" s="226"/>
      <c r="I18" s="226"/>
      <c r="J18" s="226"/>
      <c r="K18" s="226"/>
      <c r="L18" s="226"/>
      <c r="M18" s="226"/>
      <c r="N18" s="226"/>
      <c r="O18" s="226"/>
      <c r="P18" s="226"/>
      <c r="Q18" s="226"/>
      <c r="R18" s="226"/>
      <c r="S18" s="222"/>
      <c r="T18" s="190"/>
      <c r="U18" s="190"/>
      <c r="V18" s="190"/>
    </row>
    <row r="19">
      <c r="A19" s="223"/>
      <c r="B19" s="224"/>
      <c r="C19" s="218"/>
      <c r="D19" s="225">
        <v>4.0</v>
      </c>
      <c r="E19" s="226"/>
      <c r="F19" s="226"/>
      <c r="G19" s="226"/>
      <c r="H19" s="226"/>
      <c r="I19" s="226"/>
      <c r="J19" s="226"/>
      <c r="K19" s="226"/>
      <c r="L19" s="226"/>
      <c r="M19" s="226"/>
      <c r="N19" s="226"/>
      <c r="O19" s="226"/>
      <c r="P19" s="226"/>
      <c r="Q19" s="226"/>
      <c r="R19" s="226"/>
      <c r="S19" s="222"/>
      <c r="T19" s="190"/>
      <c r="U19" s="190"/>
      <c r="V19" s="190"/>
    </row>
    <row r="20">
      <c r="A20" s="223"/>
      <c r="B20" s="217" t="s">
        <v>159</v>
      </c>
      <c r="C20" s="218"/>
      <c r="D20" s="219"/>
      <c r="E20" s="226"/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R20" s="226"/>
      <c r="S20" s="222"/>
      <c r="T20" s="190"/>
      <c r="U20" s="190"/>
      <c r="V20" s="190"/>
    </row>
    <row r="21">
      <c r="A21" s="223"/>
      <c r="B21" s="224"/>
      <c r="C21" s="218"/>
      <c r="D21" s="225">
        <v>2000.0</v>
      </c>
      <c r="E21" s="227" t="s">
        <v>131</v>
      </c>
      <c r="F21" s="226"/>
      <c r="G21" s="226"/>
      <c r="H21" s="226"/>
      <c r="I21" s="226"/>
      <c r="J21" s="226"/>
      <c r="K21" s="226"/>
      <c r="L21" s="226"/>
      <c r="M21" s="226"/>
      <c r="N21" s="226"/>
      <c r="O21" s="226"/>
      <c r="P21" s="226"/>
      <c r="Q21" s="226"/>
      <c r="R21" s="226"/>
      <c r="S21" s="222"/>
      <c r="T21" s="190"/>
      <c r="U21" s="190"/>
      <c r="V21" s="190"/>
    </row>
    <row r="22">
      <c r="A22" s="223"/>
      <c r="B22" s="224"/>
      <c r="C22" s="218"/>
      <c r="D22" s="225">
        <v>2009.0</v>
      </c>
      <c r="E22" s="226"/>
      <c r="F22" s="227" t="s">
        <v>131</v>
      </c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2"/>
      <c r="T22" s="190"/>
      <c r="U22" s="190"/>
      <c r="V22" s="190"/>
    </row>
    <row r="23">
      <c r="A23" s="223"/>
      <c r="B23" s="224"/>
      <c r="C23" s="218"/>
      <c r="D23" s="219"/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2"/>
      <c r="T23" s="190"/>
      <c r="U23" s="190"/>
      <c r="V23" s="190"/>
    </row>
    <row r="24">
      <c r="A24" s="223"/>
      <c r="B24" s="224"/>
      <c r="C24" s="218"/>
      <c r="D24" s="219"/>
      <c r="E24" s="226"/>
      <c r="F24" s="226"/>
      <c r="G24" s="226"/>
      <c r="H24" s="226"/>
      <c r="I24" s="226"/>
      <c r="J24" s="226"/>
      <c r="K24" s="226"/>
      <c r="L24" s="226"/>
      <c r="M24" s="226"/>
      <c r="N24" s="226"/>
      <c r="O24" s="226"/>
      <c r="P24" s="226"/>
      <c r="Q24" s="226"/>
      <c r="R24" s="226"/>
      <c r="S24" s="222"/>
      <c r="T24" s="190"/>
      <c r="U24" s="190"/>
      <c r="V24" s="190"/>
    </row>
    <row r="25">
      <c r="A25" s="223"/>
      <c r="B25" s="224"/>
      <c r="C25" s="218"/>
      <c r="D25" s="219"/>
      <c r="E25" s="226"/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226"/>
      <c r="R25" s="226"/>
      <c r="S25" s="222"/>
      <c r="T25" s="190"/>
      <c r="U25" s="190"/>
      <c r="V25" s="190"/>
    </row>
    <row r="26">
      <c r="A26" s="223"/>
      <c r="B26" s="224"/>
      <c r="C26" s="218"/>
      <c r="D26" s="219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6"/>
      <c r="P26" s="226"/>
      <c r="Q26" s="226"/>
      <c r="R26" s="226"/>
      <c r="S26" s="222"/>
      <c r="T26" s="190"/>
      <c r="U26" s="190"/>
      <c r="V26" s="190"/>
    </row>
    <row r="27">
      <c r="A27" s="223"/>
      <c r="B27" s="224"/>
      <c r="C27" s="218"/>
      <c r="D27" s="219"/>
      <c r="E27" s="226"/>
      <c r="F27" s="226"/>
      <c r="G27" s="226"/>
      <c r="H27" s="226"/>
      <c r="I27" s="226"/>
      <c r="J27" s="226"/>
      <c r="K27" s="226"/>
      <c r="L27" s="226"/>
      <c r="M27" s="226"/>
      <c r="N27" s="226"/>
      <c r="O27" s="226"/>
      <c r="P27" s="226"/>
      <c r="Q27" s="226"/>
      <c r="R27" s="226"/>
      <c r="S27" s="222"/>
      <c r="T27" s="190"/>
      <c r="U27" s="190"/>
      <c r="V27" s="190"/>
    </row>
    <row r="28">
      <c r="A28" s="223"/>
      <c r="B28" s="231"/>
      <c r="C28" s="232"/>
      <c r="D28" s="233"/>
      <c r="E28" s="234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35"/>
      <c r="R28" s="235"/>
      <c r="S28" s="236"/>
      <c r="T28" s="190"/>
      <c r="U28" s="190"/>
      <c r="V28" s="190"/>
    </row>
    <row r="29">
      <c r="A29" s="237" t="s">
        <v>134</v>
      </c>
      <c r="B29" s="238" t="s">
        <v>135</v>
      </c>
      <c r="C29" s="239"/>
      <c r="D29" s="240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2"/>
      <c r="T29" s="190"/>
      <c r="U29" s="190"/>
      <c r="V29" s="190"/>
    </row>
    <row r="30">
      <c r="A30" s="241"/>
      <c r="B30" s="239"/>
      <c r="C30" s="242"/>
      <c r="D30" s="243" t="s">
        <v>160</v>
      </c>
      <c r="E30" s="227" t="s">
        <v>131</v>
      </c>
      <c r="F30" s="227" t="s">
        <v>131</v>
      </c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2"/>
      <c r="T30" s="190"/>
      <c r="U30" s="190"/>
      <c r="V30" s="190"/>
    </row>
    <row r="31">
      <c r="A31" s="241"/>
      <c r="B31" s="239"/>
      <c r="C31" s="244"/>
      <c r="D31" s="243" t="s">
        <v>161</v>
      </c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2"/>
      <c r="T31" s="190"/>
      <c r="U31" s="190"/>
      <c r="V31" s="190"/>
    </row>
    <row r="32">
      <c r="A32" s="241"/>
      <c r="B32" s="238" t="s">
        <v>142</v>
      </c>
      <c r="C32" s="244"/>
      <c r="D32" s="240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2"/>
      <c r="T32" s="190"/>
      <c r="U32" s="190"/>
      <c r="V32" s="190"/>
    </row>
    <row r="33">
      <c r="A33" s="241"/>
      <c r="B33" s="239"/>
      <c r="C33" s="244"/>
      <c r="D33" s="240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2"/>
      <c r="T33" s="190"/>
      <c r="U33" s="190"/>
      <c r="V33" s="190"/>
    </row>
    <row r="34">
      <c r="A34" s="241"/>
      <c r="B34" s="238" t="s">
        <v>143</v>
      </c>
      <c r="C34" s="244"/>
      <c r="D34" s="240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2"/>
      <c r="T34" s="190"/>
      <c r="U34" s="190"/>
      <c r="V34" s="190"/>
    </row>
    <row r="35">
      <c r="A35" s="241"/>
      <c r="B35" s="239"/>
      <c r="C35" s="244"/>
      <c r="D35" s="243" t="s">
        <v>162</v>
      </c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2"/>
      <c r="T35" s="190"/>
      <c r="U35" s="190"/>
      <c r="V35" s="190"/>
    </row>
    <row r="36">
      <c r="A36" s="241"/>
      <c r="B36" s="245"/>
      <c r="C36" s="246"/>
      <c r="D36" s="247" t="s">
        <v>163</v>
      </c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9"/>
      <c r="T36" s="190"/>
      <c r="U36" s="190"/>
      <c r="V36" s="190"/>
    </row>
    <row r="37">
      <c r="A37" s="237" t="s">
        <v>145</v>
      </c>
      <c r="B37" s="250" t="s">
        <v>146</v>
      </c>
      <c r="C37" s="251"/>
      <c r="D37" s="252"/>
      <c r="E37" s="253" t="s">
        <v>90</v>
      </c>
      <c r="F37" s="253" t="s">
        <v>89</v>
      </c>
      <c r="G37" s="253" t="s">
        <v>89</v>
      </c>
      <c r="H37" s="253" t="s">
        <v>89</v>
      </c>
      <c r="I37" s="253" t="s">
        <v>89</v>
      </c>
      <c r="J37" s="253" t="s">
        <v>91</v>
      </c>
      <c r="K37" s="253" t="s">
        <v>90</v>
      </c>
      <c r="L37" s="253" t="s">
        <v>89</v>
      </c>
      <c r="M37" s="253" t="s">
        <v>89</v>
      </c>
      <c r="N37" s="253" t="s">
        <v>89</v>
      </c>
      <c r="O37" s="253" t="s">
        <v>89</v>
      </c>
      <c r="P37" s="253" t="s">
        <v>89</v>
      </c>
      <c r="Q37" s="253" t="s">
        <v>90</v>
      </c>
      <c r="R37" s="253" t="s">
        <v>89</v>
      </c>
      <c r="S37" s="254" t="s">
        <v>89</v>
      </c>
      <c r="T37" s="190"/>
      <c r="U37" s="190"/>
      <c r="V37" s="190"/>
    </row>
    <row r="38">
      <c r="A38" s="241"/>
      <c r="B38" s="255" t="s">
        <v>147</v>
      </c>
      <c r="C38" s="14"/>
      <c r="D38" s="15"/>
      <c r="E38" s="256" t="s">
        <v>164</v>
      </c>
      <c r="F38" s="256" t="s">
        <v>164</v>
      </c>
      <c r="G38" s="256" t="s">
        <v>164</v>
      </c>
      <c r="H38" s="256" t="s">
        <v>164</v>
      </c>
      <c r="I38" s="256" t="s">
        <v>164</v>
      </c>
      <c r="J38" s="256" t="s">
        <v>161</v>
      </c>
      <c r="K38" s="256" t="s">
        <v>161</v>
      </c>
      <c r="L38" s="256" t="s">
        <v>164</v>
      </c>
      <c r="M38" s="256" t="s">
        <v>164</v>
      </c>
      <c r="N38" s="256" t="s">
        <v>164</v>
      </c>
      <c r="O38" s="256" t="s">
        <v>164</v>
      </c>
      <c r="P38" s="256" t="s">
        <v>164</v>
      </c>
      <c r="Q38" s="257"/>
      <c r="R38" s="256" t="s">
        <v>164</v>
      </c>
      <c r="S38" s="258" t="s">
        <v>164</v>
      </c>
      <c r="T38" s="190"/>
      <c r="U38" s="190"/>
      <c r="V38" s="190"/>
    </row>
    <row r="39">
      <c r="A39" s="241"/>
      <c r="B39" s="259" t="s">
        <v>148</v>
      </c>
      <c r="C39" s="14"/>
      <c r="D39" s="15"/>
      <c r="E39" s="260" t="s">
        <v>165</v>
      </c>
      <c r="F39" s="260" t="s">
        <v>165</v>
      </c>
      <c r="G39" s="260" t="s">
        <v>166</v>
      </c>
      <c r="H39" s="260" t="s">
        <v>167</v>
      </c>
      <c r="I39" s="261">
        <v>45660.0</v>
      </c>
      <c r="J39" s="261">
        <v>45691.0</v>
      </c>
      <c r="K39" s="261">
        <v>45719.0</v>
      </c>
      <c r="L39" s="261">
        <v>45750.0</v>
      </c>
      <c r="M39" s="261">
        <v>45780.0</v>
      </c>
      <c r="N39" s="261">
        <v>45811.0</v>
      </c>
      <c r="O39" s="261">
        <v>45841.0</v>
      </c>
      <c r="P39" s="261">
        <v>45872.0</v>
      </c>
      <c r="Q39" s="261">
        <v>45903.0</v>
      </c>
      <c r="R39" s="261">
        <v>45933.0</v>
      </c>
      <c r="S39" s="262">
        <v>45964.0</v>
      </c>
      <c r="T39" s="190"/>
      <c r="U39" s="190"/>
      <c r="V39" s="190"/>
    </row>
    <row r="40">
      <c r="A40" s="263"/>
      <c r="B40" s="264" t="s">
        <v>149</v>
      </c>
      <c r="C40" s="265"/>
      <c r="D40" s="266"/>
      <c r="E40" s="267"/>
      <c r="F40" s="267"/>
      <c r="G40" s="267"/>
      <c r="H40" s="267"/>
      <c r="I40" s="267"/>
      <c r="J40" s="268" t="s">
        <v>168</v>
      </c>
      <c r="K40" s="268" t="s">
        <v>169</v>
      </c>
      <c r="L40" s="268" t="s">
        <v>170</v>
      </c>
      <c r="M40" s="268" t="s">
        <v>171</v>
      </c>
      <c r="N40" s="268" t="s">
        <v>172</v>
      </c>
      <c r="O40" s="268" t="s">
        <v>173</v>
      </c>
      <c r="P40" s="268" t="s">
        <v>174</v>
      </c>
      <c r="Q40" s="268" t="s">
        <v>175</v>
      </c>
      <c r="R40" s="268" t="s">
        <v>176</v>
      </c>
      <c r="S40" s="269" t="s">
        <v>177</v>
      </c>
      <c r="T40" s="190"/>
      <c r="U40" s="190"/>
      <c r="V40" s="190"/>
    </row>
    <row r="41">
      <c r="A41" s="270"/>
      <c r="B41" s="205"/>
      <c r="C41" s="190"/>
      <c r="D41" s="206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  <c r="U41" s="190"/>
      <c r="V41" s="190"/>
    </row>
  </sheetData>
  <mergeCells count="23">
    <mergeCell ref="A1:B1"/>
    <mergeCell ref="C1:D1"/>
    <mergeCell ref="E1:J1"/>
    <mergeCell ref="K1:S1"/>
    <mergeCell ref="C2:D2"/>
    <mergeCell ref="E2:J2"/>
    <mergeCell ref="K2:M2"/>
    <mergeCell ref="C3:S3"/>
    <mergeCell ref="A5:B5"/>
    <mergeCell ref="C5:D5"/>
    <mergeCell ref="E5:J5"/>
    <mergeCell ref="N5:S5"/>
    <mergeCell ref="B37:D37"/>
    <mergeCell ref="B38:D38"/>
    <mergeCell ref="B39:D39"/>
    <mergeCell ref="B40:D40"/>
    <mergeCell ref="A2:B2"/>
    <mergeCell ref="A3:B3"/>
    <mergeCell ref="A4:B4"/>
    <mergeCell ref="C4:D4"/>
    <mergeCell ref="E4:J4"/>
    <mergeCell ref="K4:M4"/>
    <mergeCell ref="N4:S4"/>
  </mergeCells>
  <drawing r:id="rId1"/>
</worksheet>
</file>